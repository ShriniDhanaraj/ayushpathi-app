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ding Actions" sheetId="1" state="visible" r:id="rId3"/>
    <sheet name="Login Table" sheetId="2" state="visible" r:id="rId4"/>
    <sheet name="API Tests — Session 6" sheetId="3" state="visible" r:id="rId5"/>
    <sheet name="Browser Tests" sheetId="4" state="visible" r:id="rId6"/>
    <sheet name="Mobile Tests" sheetId="5" state="visible" r:id="rId7"/>
    <sheet name="Scenario Tests — Seed 003" sheetId="6" state="visible" r:id="rId8"/>
    <sheet name="Prescription Audit Data" sheetId="7" state="visible" r:id="rId9"/>
    <sheet name="Summary" sheetId="8" state="visible" r:id="rId10"/>
    <sheet name="My Doctors — Scenarios" sheetId="9" state="visible" r:id="rId11"/>
    <sheet name="Receptionist Booking — S15" sheetId="10" state="visible" r:id="rId12"/>
    <sheet name="Admin Appointments — S15" sheetId="11" state="visible" r:id="rId13"/>
    <sheet name="WhatsApp OTP — S15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<sst xmlns="http://schemas.openxmlformats.org/spreadsheetml/2006/main" count="1760" uniqueCount="1022">
  <si>
    <t xml:space="preserve">Ayushpathi — Pending Actions (updated Session 11)</t>
  </si>
  <si>
    <t xml:space="preserve">#</t>
  </si>
  <si>
    <t xml:space="preserve">Action</t>
  </si>
  <si>
    <t xml:space="preserve">Owner</t>
  </si>
  <si>
    <t xml:space="preserve">Type</t>
  </si>
  <si>
    <t xml:space="preserve">Priority</t>
  </si>
  <si>
    <t xml:space="preserve">Status</t>
  </si>
  <si>
    <t xml:space="preserve">Notes</t>
  </si>
  <si>
    <t xml:space="preserve">1</t>
  </si>
  <si>
    <t xml:space="preserve">Run 20260619_doctor_availability_seed.sql in Supabase SQL Editor</t>
  </si>
  <si>
    <t xml:space="preserve">Shri Raj</t>
  </si>
  <si>
    <t xml:space="preserve">Supabase SQL</t>
  </si>
  <si>
    <t xml:space="preserve">High</t>
  </si>
  <si>
    <t xml:space="preserve">Completed</t>
  </si>
  <si>
    <t xml:space="preserve">Pass: Success. No rows returned (19/06/2026)
File: supabase/migrations/20260619_doctor_availability_seed.sql. Enables slot picker in booking + doctor profile availability tab.</t>
  </si>
  <si>
    <t xml:space="preserve">2</t>
  </si>
  <si>
    <t xml:space="preserve">Replace dummy WhatsApp numbers with real clinic numbers</t>
  </si>
  <si>
    <t xml:space="preserve">Medium</t>
  </si>
  <si>
    <t xml:space="preserve">Pending</t>
  </si>
  <si>
    <t xml:space="preserve">Run UPDATE hospital SET whatsapp_number='91XXXXXXXXXX' for each hospital. Dummy 919444000011–14 are placeholders.</t>
  </si>
  <si>
    <t xml:space="preserve">3</t>
  </si>
  <si>
    <t xml:space="preserve">Test near-me search — GPS location path</t>
  </si>
  <si>
    <t xml:space="preserve">Browser Test</t>
  </si>
  <si>
    <t xml:space="preserve">Go to rasbros.com/doctors/near-me → click "Use my location" → allow browser → confirm doctors appear within radius.</t>
  </si>
  <si>
    <t xml:space="preserve">4</t>
  </si>
  <si>
    <t xml:space="preserve">Test near-me search — address/pincode fallback</t>
  </si>
  <si>
    <t xml:space="preserve">Go to rasbros.com/doctors/near-me → click "Enter address / pincode" → type "T. Nagar Chennai" → confirm doctors appear.</t>
  </si>
  <si>
    <t xml:space="preserve">5</t>
  </si>
  <si>
    <t xml:space="preserve">Test near-me search — All AYUSH filter pill</t>
  </si>
  <si>
    <t xml:space="preserve">"All AYUSH" pill should be pre-selected (green). Select "Ayurveda" → results filter. Select "All AYUSH" again → all specializations return.</t>
  </si>
  <si>
    <t xml:space="preserve">6</t>
  </si>
  <si>
    <t xml:space="preserve">Test near-me search — language filter</t>
  </si>
  <si>
    <t xml:space="preserve">Set "Speaks = Tamil (தமிழ்)" → only TA-speaking doctors shown. Language chip highlighted on matching doctor cards.</t>
  </si>
  <si>
    <t xml:space="preserve">7</t>
  </si>
  <si>
    <t xml:space="preserve">Test booking flow — All AYUSH tile</t>
  </si>
  <si>
    <t xml:space="preserve">Go to rasbros.com/appointments/new → "All AYUSH" tile should be pre-selected at top. Click "Search Doctors →" → all approved doctors shown with specialization label visible on each card.</t>
  </si>
  <si>
    <t xml:space="preserve">8</t>
  </si>
  <si>
    <t xml:space="preserve">Test booking flow — pick slot and confirm</t>
  </si>
  <si>
    <t xml:space="preserve">After running availability seed: select a doctor → pick a date → slots should appear → select a slot → confirm → appointment created.</t>
  </si>
  <si>
    <t xml:space="preserve">9</t>
  </si>
  <si>
    <t xml:space="preserve">Test doctor profile page</t>
  </si>
  <si>
    <t xml:space="preserve">From near-me results click "View &amp; Book" → /doctors/[id] page shows: name, spec, languages, availability (once seed runs), Book Appointment button.</t>
  </si>
  <si>
    <t xml:space="preserve">10</t>
  </si>
  <si>
    <t xml:space="preserve">Test hospital admin — doctor verification UI</t>
  </si>
  <si>
    <t xml:space="preserve">Login as admin_h01@gmail.com → /hospital-admin/doctors → "Pending Verification" section at top. If no pending doctors exist, register a new doctor with doctor_01@gmail.com and check it appears here.</t>
  </si>
  <si>
    <t xml:space="preserve">11</t>
  </si>
  <si>
    <t xml:space="preserve">Test hospital admin — approve a doctor</t>
  </si>
  <si>
    <t xml:space="preserve">In Pending Verification: click "Approve" → doctor.verification_status changes to APPROVED. Verify in Supabase.</t>
  </si>
  <si>
    <t xml:space="preserve">12</t>
  </si>
  <si>
    <t xml:space="preserve">Test hospital admin — reject a doctor</t>
  </si>
  <si>
    <t xml:space="preserve">In Pending Verification: click "Reject" → textarea appears → enter reason → click "Confirm Reject" → doctor.verification_status = REJECTED.</t>
  </si>
  <si>
    <t xml:space="preserve">13</t>
  </si>
  <si>
    <t xml:space="preserve">Test WhatsApp support button hierarchy</t>
  </si>
  <si>
    <t xml:space="preserve">Low</t>
  </si>
  <si>
    <t xml:space="preserve">GET /api/support/whatsapp while logged in as patient01 → should return hospital WhatsApp (9194440001x) now that it's populated.</t>
  </si>
  <si>
    <t xml:space="preserve">14</t>
  </si>
  <si>
    <t xml:space="preserve">Teleconsult join link — generate &amp; show video URL</t>
  </si>
  <si>
    <t xml:space="preserve">Claude</t>
  </si>
  <si>
    <t xml:space="preserve">Development</t>
  </si>
  <si>
    <t xml:space="preserve">Completed ✅</t>
  </si>
  <si>
    <t xml:space="preserve">Deferred – Session 9</t>
  </si>
  <si>
    <t xml:space="preserve">Done Session 10. Jitsi Meet URLs generated on TELECONSULT booking. Stored in appointment.teleconsult_url. Shown to patient (Join Now banner) + doctor.</t>
  </si>
  <si>
    <t xml:space="preserve">15</t>
  </si>
  <si>
    <t xml:space="preserve">Push notification wiring</t>
  </si>
  <si>
    <t xml:space="preserve">Done Session 10. expo-notifications token saved on mobile login → POST /api/push/register. Cron /api/notifications/remind sends next-day reminders.</t>
  </si>
  <si>
    <t xml:space="preserve">16</t>
  </si>
  <si>
    <t xml:space="preserve">SMS/OTP login for patients</t>
  </si>
  <si>
    <t xml:space="preserve">Replace email+password with Supabase phone OTP for patients.</t>
  </si>
  <si>
    <t xml:space="preserve">17</t>
  </si>
  <si>
    <t xml:space="preserve">Patient dashboard web page (/dashboard/patient)</t>
  </si>
  <si>
    <t xml:space="preserve">Done Session 10. /dashboard/patient shows upcoming + past tabs, cancel button, Book Again, Teleconsult Join Now banner.</t>
  </si>
  <si>
    <t xml:space="preserve">18</t>
  </si>
  <si>
    <t xml:space="preserve">Doctor general listing page (/doctors)</t>
  </si>
  <si>
    <t xml:space="preserve">Done Session 10. /doctors/browse — filter by name, AYUSH spec, language, city/state. No GPS required.</t>
  </si>
  <si>
    <t xml:space="preserve">19</t>
  </si>
  <si>
    <t xml:space="preserve">Run 20260627_create_auth_users.sql in Supabase SQL Editor</t>
  </si>
  <si>
    <t xml:space="preserve">Owner: Shri Raj. Creates 17 test auth users with correct UUIDs + password Ayush@2026!. Run once — ON CONFLICT DO NOTHING.</t>
  </si>
  <si>
    <t xml:space="preserve">20</t>
  </si>
  <si>
    <t xml:space="preserve">Run 20260627_backfill_user_roles.sql in Supabase SQL Editor</t>
  </si>
  <si>
    <t xml:space="preserve">Done Session 11. Sets raw_user_meta_data.role for all seed users so login routes correctly to doctor/admin/receptionist dashboards.</t>
  </si>
  <si>
    <t xml:space="preserve">21</t>
  </si>
  <si>
    <t xml:space="preserve">Test role-based routing for all roles after Session 11 fix</t>
  </si>
  <si>
    <t xml:space="preserve">Login as doctor_h01, admin_h01, recep_h01 — each must land on their own dashboard. See Browser Tests sheet B-01 to B-07.</t>
  </si>
  <si>
    <t xml:space="preserve">22</t>
  </si>
  <si>
    <t xml:space="preserve">UPDATE hospital SET whatsapp_number='91XXXXXXXXXX' for each hospital. Dummy numbers 919444000011–14 are placeholders only.</t>
  </si>
  <si>
    <t xml:space="preserve">25</t>
  </si>
  <si>
    <t xml:space="preserve">Decide: WhatsApp OTP number — Platform 919361287432 or dedicated auth number?</t>
  </si>
  <si>
    <t xml:space="preserve">Decision</t>
  </si>
  <si>
    <t xml:space="preserve">Needed before building MSG91 Edge Function. Recommendation: dedicated number keeps OTPs separate from support WA.</t>
  </si>
  <si>
    <t xml:space="preserve">26</t>
  </si>
  <si>
    <t xml:space="preserve">Decide: SMS fallback if WhatsApp OTP delivery fails — yes or no?</t>
  </si>
  <si>
    <t xml:space="preserve">Yes = add MSG91 SMS fallback (~₹0.10/SMS extra). No = simpler but patient stranded if WA fails.</t>
  </si>
  <si>
    <t xml:space="preserve">27</t>
  </si>
  <si>
    <t xml:space="preserve">Decide: OTP message language — English only or per patient ui_language?</t>
  </si>
  <si>
    <t xml:space="preserve">Per-language = better UX, needs MSG91 multi-template approval. English-only = faster launch.</t>
  </si>
  <si>
    <t xml:space="preserve">28</t>
  </si>
  <si>
    <t xml:space="preserve">Test: Receptionist GDPR booking flow end-to-end (RB-01 to RB-10)</t>
  </si>
  <si>
    <t xml:space="preserve">New /receptionist/book page built Session 15. See Receptionist Booking — S15 sheet.</t>
  </si>
  <si>
    <t xml:space="preserve">29</t>
  </si>
  <si>
    <t xml:space="preserve">Test: Admin-scoped appointments view for all 3 scopes (AA-01 to AA-10)</t>
  </si>
  <si>
    <t xml:space="preserve">New /hospital-admin/appointments page built Session 15. See Admin Appointments — S15 sheet.</t>
  </si>
  <si>
    <t xml:space="preserve">31</t>
  </si>
  <si>
    <t xml:space="preserve">MSG91 account setup + register 919361287432 as WhatsApp Business number</t>
  </si>
  <si>
    <t xml:space="preserve">External Setup</t>
  </si>
  <si>
    <t xml:space="preserve">Critical</t>
  </si>
  <si>
    <t xml:space="preserve">Required before OTP login works. See checklist in supabase/migrations/20260627_otp_phone_auth.sql</t>
  </si>
  <si>
    <t xml:space="preserve">32</t>
  </si>
  <si>
    <t xml:space="preserve">Create + submit 9 Meta OTP templates for approval (EN/HI/TA/TE/KN/ML/BN/GU/MR)</t>
  </si>
  <si>
    <t xml:space="preserve">MSG91 / Meta</t>
  </si>
  <si>
    <t xml:space="preserve">Template body: "Your Ayushpathi verification code is {{1}}. Valid for 10 minutes." — submit per language in MSG91 portal</t>
  </si>
  <si>
    <t xml:space="preserve">33</t>
  </si>
  <si>
    <t xml:space="preserve">Set MSG91_AUTH_KEY + 9 template ID secrets in Supabase + deploy send-otp-whatsapp function</t>
  </si>
  <si>
    <t xml:space="preserve">Supabase</t>
  </si>
  <si>
    <t xml:space="preserve">Commands: supabase functions deploy send-otp-whatsapp --no-verify-jwt + supabase secrets set ...</t>
  </si>
  <si>
    <t xml:space="preserve">34</t>
  </si>
  <si>
    <t xml:space="preserve">Enable Phone Auth in Supabase dashboard + register Send SMS hook → send-otp-whatsapp</t>
  </si>
  <si>
    <t xml:space="preserve">Dashboard: Authentication → Providers → Phone (enable). Authentication → Hooks → Send SMS Hook → Edge Function</t>
  </si>
  <si>
    <t xml:space="preserve">35</t>
  </si>
  <si>
    <t xml:space="preserve">Test OTP-01 to OTP-13 on mobile after activation</t>
  </si>
  <si>
    <t xml:space="preserve">Mobile Test</t>
  </si>
  <si>
    <t xml:space="preserve">See WhatsApp OTP — S15 sheet</t>
  </si>
  <si>
    <t xml:space="preserve">Role</t>
  </si>
  <si>
    <t xml:space="preserve">Name</t>
  </si>
  <si>
    <t xml:space="preserve">Email</t>
  </si>
  <si>
    <t xml:space="preserve">Password</t>
  </si>
  <si>
    <t xml:space="preserve">Mobile App Route</t>
  </si>
  <si>
    <t xml:space="preserve">Web Login Route</t>
  </si>
  <si>
    <t xml:space="preserve">Auth Account</t>
  </si>
  <si>
    <t xml:space="preserve">My Doctors (Consent)</t>
  </si>
  <si>
    <t xml:space="preserve">Patient</t>
  </si>
  <si>
    <t xml:space="preserve">Ravi Kumar</t>
  </si>
  <si>
    <t xml:space="preserve">patient01@gmail.com</t>
  </si>
  <si>
    <t xml:space="preserve">Ayush@2026!</t>
  </si>
  <si>
    <t xml:space="preserve">/(tabs)/</t>
  </si>
  <si>
    <t xml:space="preserve">/dashboard/patient</t>
  </si>
  <si>
    <t xml:space="preserve">✅ Created (seed + Session 11 SQL)</t>
  </si>
  <si>
    <t xml:space="preserve">3 rich test scenarios. Seed visits 1-7. Next visit in +5 days (orange badge).</t>
  </si>
  <si>
    <t xml:space="preserve">ACTIVE: Dr. Priya Nair (HOM, full history)
REVOKED: Dr. Arjun Sharma (AYU) + Dr. Meena Pillai (YOG)
→ Tab shows (1)</t>
  </si>
  <si>
    <t xml:space="preserve">Ananya Krishnan</t>
  </si>
  <si>
    <t xml:space="preserve">patient02@gmail.com</t>
  </si>
  <si>
    <t xml:space="preserve">2 Siddha visits with Dr. Venkat + ongoing with Dr. Meena.</t>
  </si>
  <si>
    <t xml:space="preserve">ACTIVE: Dr. Meena Pillai (YOG, full history)
REVOKED: Dr. Venkat Rao (SID)
→ Tab shows (1)</t>
  </si>
  <si>
    <t xml:space="preserve">Mohan Pillai</t>
  </si>
  <si>
    <t xml:space="preserve">patient03@gmail.com</t>
  </si>
  <si>
    <t xml:space="preserve">Ongoing single-doctor journey (arthritis, 3 visits).</t>
  </si>
  <si>
    <t xml:space="preserve">ACTIVE: Dr. Venkat Rao (SID, full history)
ACTIVE: Dr. Suresh Kumar (UNA, partial only — no badge)
→ Tab shows (2)</t>
  </si>
  <si>
    <t xml:space="preserve">Doctor (AYU)</t>
  </si>
  <si>
    <t xml:space="preserve">Dr. Arjun Sharma</t>
  </si>
  <si>
    <t xml:space="preserve">doctor_h01@gmail.com</t>
  </si>
  <si>
    <t xml:space="preserve">/doctor-dashboard</t>
  </si>
  <si>
    <t xml:space="preserve">/dashboard/doctor</t>
  </si>
  <si>
    <t xml:space="preserve">✅ Created (Session 11 SQL)</t>
  </si>
  <si>
    <t xml:space="preserve">Hospital C1. Ravi Kumar consent REVOKED 2026-06-01. 5 Rx on record.</t>
  </si>
  <si>
    <t xml:space="preserve">—</t>
  </si>
  <si>
    <t xml:space="preserve">Doctor (HOM)</t>
  </si>
  <si>
    <t xml:space="preserve">Dr. Priya Nair</t>
  </si>
  <si>
    <t xml:space="preserve">doctor_h02@gmail.com</t>
  </si>
  <si>
    <t xml:space="preserve">Hospital C2. Ravi consent ACTIVE — 2 HOM consultations + full history visible.</t>
  </si>
  <si>
    <t xml:space="preserve">Doctor (SID)</t>
  </si>
  <si>
    <t xml:space="preserve">Dr. Venkat Rao</t>
  </si>
  <si>
    <t xml:space="preserve">doctor_grp01@gmail.com</t>
  </si>
  <si>
    <t xml:space="preserve">Group doctor (C1+C2). Ananya consent REVOKED 2026-06-07. Mohan consent ACTIVE.</t>
  </si>
  <si>
    <t xml:space="preserve">Doctor (YOG)</t>
  </si>
  <si>
    <t xml:space="preserve">Dr. Meena Pillai</t>
  </si>
  <si>
    <t xml:space="preserve">doctor_grp02@gmail.com</t>
  </si>
  <si>
    <t xml:space="preserve">Hospital C3. Ananya consent ACTIVE + share_full_history=TRUE.</t>
  </si>
  <si>
    <t xml:space="preserve">Doctor (UNA)</t>
  </si>
  <si>
    <t xml:space="preserve">Dr. Suresh Kumar</t>
  </si>
  <si>
    <t xml:space="preserve">doctor_01@gmail.com</t>
  </si>
  <si>
    <t xml:space="preserve">✅ Existed (registered via form)</t>
  </si>
  <si>
    <t xml:space="preserve">Independent — no seed transactions. Uses for teleconsult testing.</t>
  </si>
  <si>
    <t xml:space="preserve">Dr. Kavitha Menon</t>
  </si>
  <si>
    <t xml:space="preserve">doctor_02@gmail.com</t>
  </si>
  <si>
    <t xml:space="preserve">Independent — no seed transactions.</t>
  </si>
  <si>
    <t xml:space="preserve">Hospital Admin (HOSPITAL)</t>
  </si>
  <si>
    <t xml:space="preserve">Rajesh Iyer</t>
  </si>
  <si>
    <t xml:space="preserve">admin_h01@gmail.com</t>
  </si>
  <si>
    <t xml:space="preserve">/(hospital-admin)/</t>
  </si>
  <si>
    <t xml:space="preserve">/dashboard/admin</t>
  </si>
  <si>
    <t xml:space="preserve">Scope: HOSPITAL → C1 (Apollo Ayurveda Chennai) only.</t>
  </si>
  <si>
    <t xml:space="preserve">Sunita Verma</t>
  </si>
  <si>
    <t xml:space="preserve">admin_h02@gmail.com</t>
  </si>
  <si>
    <t xml:space="preserve">Scope: HOSPITAL → C2 (Sri Dhanvantri Chennai) only.</t>
  </si>
  <si>
    <t xml:space="preserve">Group Admin (GROUP)</t>
  </si>
  <si>
    <t xml:space="preserve">Prakash Nair</t>
  </si>
  <si>
    <t xml:space="preserve">admin_grp01@gmail.com</t>
  </si>
  <si>
    <t xml:space="preserve">Web only</t>
  </si>
  <si>
    <t xml:space="preserve">Scope: GROUP → SunHealth (C1 + C2).</t>
  </si>
  <si>
    <t xml:space="preserve">Deepa Menon</t>
  </si>
  <si>
    <t xml:space="preserve">admin_grp02@gmail.com</t>
  </si>
  <si>
    <t xml:space="preserve">Scope: GROUP → WestCoast (C3 + C4).</t>
  </si>
  <si>
    <t xml:space="preserve">Receptionist</t>
  </si>
  <si>
    <t xml:space="preserve">Lakshmi Devi</t>
  </si>
  <si>
    <t xml:space="preserve">recep_h01@gmail.com</t>
  </si>
  <si>
    <t xml:space="preserve">/(receptionist)/</t>
  </si>
  <si>
    <t xml:space="preserve">/dashboard/receptionist</t>
  </si>
  <si>
    <t xml:space="preserve">Hospital C1 — booked Ravi Kumar visits 1 &amp; 3. Entered Rx visits 2 &amp; 4.</t>
  </si>
  <si>
    <t xml:space="preserve">Karthik Rajan</t>
  </si>
  <si>
    <t xml:space="preserve">recep_h02@gmail.com</t>
  </si>
  <si>
    <t xml:space="preserve">Hospital C2 — entered Rx for Dr. Priya Nair consultation.</t>
  </si>
  <si>
    <t xml:space="preserve">Parvathi Srinivasan</t>
  </si>
  <si>
    <t xml:space="preserve">recep_grp01@gmail.com</t>
  </si>
  <si>
    <t xml:space="preserve">Hospital C1 — spare receptionist account for multi-user testing.</t>
  </si>
  <si>
    <t xml:space="preserve">Murugan Pillai</t>
  </si>
  <si>
    <t xml:space="preserve">recep_grp02@gmail.com</t>
  </si>
  <si>
    <t xml:space="preserve">Hospital C3 — spare receptionist for WestCoast group tests.</t>
  </si>
  <si>
    <t xml:space="preserve">⚠ Session 11 fix: Supabase Auth accounts were never created for users marked "Created (Session 11 SQL)". Run supabase/migrations/20260627_create_auth_users.sql in SQL Editor. All passwords: Ayush@2026!</t>
  </si>
  <si>
    <t xml:space="preserve">API ID</t>
  </si>
  <si>
    <t xml:space="preserve">Endpoint</t>
  </si>
  <si>
    <t xml:space="preserve">Method</t>
  </si>
  <si>
    <t xml:space="preserve">Description</t>
  </si>
  <si>
    <t xml:space="preserve">Auth</t>
  </si>
  <si>
    <t xml:space="preserve">Test User</t>
  </si>
  <si>
    <t xml:space="preserve">Expected</t>
  </si>
  <si>
    <t xml:space="preserve">Actual / Finding</t>
  </si>
  <si>
    <t xml:space="preserve">Result</t>
  </si>
  <si>
    <t xml:space="preserve">Bug Fixed?</t>
  </si>
  <si>
    <t xml:space="preserve">Fix Commit</t>
  </si>
  <si>
    <t xml:space="preserve">API-01</t>
  </si>
  <si>
    <t xml:space="preserve">/api/appointments/[id]/cancel</t>
  </si>
  <si>
    <t xml:space="preserve">DELETE</t>
  </si>
  <si>
    <t xml:space="preserve">Patient cancels their own appointment</t>
  </si>
  <si>
    <t xml:space="preserve">Bearer JWT</t>
  </si>
  <si>
    <t xml:space="preserve">200 OK — appointment status → CANCELLED</t>
  </si>
  <si>
    <t xml:space="preserve">BUG: was reading patient_auth_id column (does not exist). Fixed: joined patient table for auth_user_id.</t>
  </si>
  <si>
    <t xml:space="preserve">Fixed</t>
  </si>
  <si>
    <t xml:space="preserve">Yes</t>
  </si>
  <si>
    <t xml:space="preserve">f927625</t>
  </si>
  <si>
    <t xml:space="preserve">Auth check now uses patient table join</t>
  </si>
  <si>
    <t xml:space="preserve">API-02</t>
  </si>
  <si>
    <t xml:space="preserve">Wrong patient tries to cancel another patient's appointment</t>
  </si>
  <si>
    <t xml:space="preserve">403 Forbidden</t>
  </si>
  <si>
    <t xml:space="preserve">Verified 403 returned after fix. Ownership check confirmed.</t>
  </si>
  <si>
    <t xml:space="preserve">Pass</t>
  </si>
  <si>
    <t xml:space="preserve">N/A</t>
  </si>
  <si>
    <t xml:space="preserve">API-03</t>
  </si>
  <si>
    <t xml:space="preserve">/api/patient-family</t>
  </si>
  <si>
    <t xml:space="preserve">GET</t>
  </si>
  <si>
    <t xml:space="preserve">Patient reads own family members</t>
  </si>
  <si>
    <t xml:space="preserve">200 OK — returns family list</t>
  </si>
  <si>
    <t xml:space="preserve">BUG: no ownership check. Any authed user could read any patient's family. Fixed: resolveAccess() helper added.</t>
  </si>
  <si>
    <t xml:space="preserve">API-04</t>
  </si>
  <si>
    <t xml:space="preserve">Patient tries to read another patient's family (patient_id param manipulation)</t>
  </si>
  <si>
    <t xml:space="preserve">Verified 403 after resolveAccess() fix.</t>
  </si>
  <si>
    <t xml:space="preserve">API-05</t>
  </si>
  <si>
    <t xml:space="preserve">POST</t>
  </si>
  <si>
    <t xml:space="preserve">Patient adds family member</t>
  </si>
  <si>
    <t xml:space="preserve">201 Created</t>
  </si>
  <si>
    <t xml:space="preserve">Passed — ownership verified via resolveAccess().</t>
  </si>
  <si>
    <t xml:space="preserve">API-06</t>
  </si>
  <si>
    <t xml:space="preserve">/api/test-results</t>
  </si>
  <si>
    <t xml:space="preserve">Patient reads own test results</t>
  </si>
  <si>
    <t xml:space="preserve">200 OK — own results only</t>
  </si>
  <si>
    <t xml:space="preserve">BUG: no ownership check on patient_id param. Fixed: patient restricted to own records; staff role allowed.</t>
  </si>
  <si>
    <t xml:space="preserve">API-07</t>
  </si>
  <si>
    <t xml:space="preserve">Patient queries another patient's test results</t>
  </si>
  <si>
    <t xml:space="preserve">Verified 403 after ownership fix.</t>
  </si>
  <si>
    <t xml:space="preserve">API-08</t>
  </si>
  <si>
    <t xml:space="preserve">/api/doctor/prescription/verify</t>
  </si>
  <si>
    <t xml:space="preserve">Doctor fetches pending prescriptions to sign off</t>
  </si>
  <si>
    <t xml:space="preserve">200 OK — list of RECEPTIONIST-entered, unverified prescriptions</t>
  </si>
  <si>
    <t xml:space="preserve">BUG: was joining via appointment_id (does not exist on prescription table). Fixed: uses consultation_id FK.</t>
  </si>
  <si>
    <t xml:space="preserve">9ed3478</t>
  </si>
  <si>
    <t xml:space="preserve">prescription.consultation_id → consultation.doctor_id</t>
  </si>
  <si>
    <t xml:space="preserve">API-09</t>
  </si>
  <si>
    <t xml:space="preserve">PATCH</t>
  </si>
  <si>
    <t xml:space="preserve">Doctor signs off a pending prescription</t>
  </si>
  <si>
    <t xml:space="preserve">200 OK — verified_by_doctor=TRUE, verified_at set</t>
  </si>
  <si>
    <t xml:space="preserve">Verified after fix. Ownership check: doctor must own the consultation.</t>
  </si>
  <si>
    <t xml:space="preserve">API-10</t>
  </si>
  <si>
    <t xml:space="preserve">Wrong doctor tries to sign off another doctor's prescription</t>
  </si>
  <si>
    <t xml:space="preserve">Verified 403 — consultation belongs to doctor_h01.</t>
  </si>
  <si>
    <t xml:space="preserve">API-11</t>
  </si>
  <si>
    <t xml:space="preserve">/api/support/whatsapp</t>
  </si>
  <si>
    <t xml:space="preserve">Authenticated user gets WhatsApp support number</t>
  </si>
  <si>
    <t xml:space="preserve">200 OK — returns wa_number (hospital or platform fallback)</t>
  </si>
  <si>
    <t xml:space="preserve">Returned platform fallback 919361287432 (hospital WA numbers not yet populated in DB).</t>
  </si>
  <si>
    <t xml:space="preserve">Hospital WA numbers still need populating</t>
  </si>
  <si>
    <t xml:space="preserve">API-12</t>
  </si>
  <si>
    <t xml:space="preserve">/api/receptionist/identify</t>
  </si>
  <si>
    <t xml:space="preserve">Receptionist runs GDPR Step 1 — find patient by name+mobile+DOB</t>
  </si>
  <si>
    <t xml:space="preserve">200 OK — {record_id, masked_address}</t>
  </si>
  <si>
    <t xml:space="preserve">Tested. Returns record_id + masked address correctly.</t>
  </si>
  <si>
    <t xml:space="preserve">API-13</t>
  </si>
  <si>
    <t xml:space="preserve">/api/receptionist/identify/confirm</t>
  </si>
  <si>
    <t xml:space="preserve">GDPR Step 2 — confirm with correct address</t>
  </si>
  <si>
    <t xml:space="preserve">200 OK — full patient profile</t>
  </si>
  <si>
    <t xml:space="preserve">Tested with correct address_input. Profile returned.</t>
  </si>
  <si>
    <t xml:space="preserve">Payload: {record_id, type, address_input}</t>
  </si>
  <si>
    <t xml:space="preserve">API-14</t>
  </si>
  <si>
    <t xml:space="preserve">GDPR Step 2 — wrong address rejected</t>
  </si>
  <si>
    <t xml:space="preserve">400/403 — profile NOT returned</t>
  </si>
  <si>
    <t xml:space="preserve">Verified — wrong address returns error, no profile exposed.</t>
  </si>
  <si>
    <t xml:space="preserve">API-15</t>
  </si>
  <si>
    <t xml:space="preserve">/api/records/export</t>
  </si>
  <si>
    <t xml:space="preserve">Patient exports records (cookie-based, not Bearer)</t>
  </si>
  <si>
    <t xml:space="preserve">Design: cookie-based auth only — Bearer gives 401</t>
  </si>
  <si>
    <t xml:space="preserve">Returns 401 with Bearer token — EXPECTED (uses createSupabaseServerClient/cookies). Not a bug.</t>
  </si>
  <si>
    <t xml:space="preserve">By design — web-only, cookie auth. Not testable via Postman Bearer.</t>
  </si>
  <si>
    <t xml:space="preserve">Test ID</t>
  </si>
  <si>
    <t xml:space="preserve">Feature</t>
  </si>
  <si>
    <t xml:space="preserve">URL / Path</t>
  </si>
  <si>
    <t xml:space="preserve">Steps</t>
  </si>
  <si>
    <t xml:space="preserve">Expected Result</t>
  </si>
  <si>
    <t xml:space="preserve">Actual Result</t>
  </si>
  <si>
    <t xml:space="preserve">B-01</t>
  </si>
  <si>
    <t xml:space="preserve">Patient Login</t>
  </si>
  <si>
    <t xml:space="preserve">Patient logs in with email and is routed to records/home</t>
  </si>
  <si>
    <t xml:space="preserve">/</t>
  </si>
  <si>
    <t xml:space="preserve">1. Go to https://www.rasbros.com
2. Login as patient01@gmail.com / Ayush@2026!
3. Observe redirect</t>
  </si>
  <si>
    <t xml:space="preserve">Logged in. Redirected to patient home/records page.</t>
  </si>
  <si>
    <t xml:space="preserve">Not Started</t>
  </si>
  <si>
    <t xml:space="preserve">B-02</t>
  </si>
  <si>
    <t xml:space="preserve">Doctor Login (Approved)</t>
  </si>
  <si>
    <t xml:space="preserve">Approved doctor logs in and sees dashboard</t>
  </si>
  <si>
    <t xml:space="preserve">1. Login as doctor_h01@gmail.com
2. Observe redirect</t>
  </si>
  <si>
    <t xml:space="preserve">Redirected to /dashboard/doctor with active patients count.</t>
  </si>
  <si>
    <t xml:space="preserve">B-03</t>
  </si>
  <si>
    <t xml:space="preserve">Doctor Login (Pending)</t>
  </si>
  <si>
    <t xml:space="preserve">Pending doctor sees pending-approval page</t>
  </si>
  <si>
    <t xml:space="preserve">1. Login as doctor_01@gmail.com
2. Observe redirect</t>
  </si>
  <si>
    <t xml:space="preserve">Redirected to /pending-approval page.</t>
  </si>
  <si>
    <t xml:space="preserve">B-04</t>
  </si>
  <si>
    <t xml:space="preserve">Receptionist Login</t>
  </si>
  <si>
    <t xml:space="preserve">Receptionist logs in and sees receptionist dashboard</t>
  </si>
  <si>
    <t xml:space="preserve">1. Login as recep_h01@gmail.com
2. Observe redirect</t>
  </si>
  <si>
    <t xml:space="preserve">Redirected to /receptionist dashboard.</t>
  </si>
  <si>
    <t xml:space="preserve">B-05</t>
  </si>
  <si>
    <t xml:space="preserve">Hospital Admin Login</t>
  </si>
  <si>
    <t xml:space="preserve">Hospital Admin (HOSPITAL scope) logs in</t>
  </si>
  <si>
    <t xml:space="preserve">1. Login as admin_h01@gmail.com
2. Observe /hospital-admin page</t>
  </si>
  <si>
    <t xml:space="preserve">Hospital admin dashboard shows C1 data only.</t>
  </si>
  <si>
    <t xml:space="preserve">B-06</t>
  </si>
  <si>
    <t xml:space="preserve">Patient Views Records</t>
  </si>
  <si>
    <t xml:space="preserve">Patient sees consultations, prescriptions, next visit</t>
  </si>
  <si>
    <t xml:space="preserve">/records</t>
  </si>
  <si>
    <t xml:space="preserve">1. Login as patient01
2. Navigate to /records
3. Check all sections</t>
  </si>
  <si>
    <t xml:space="preserve">7 consultations (5+2), 7 prescriptions, next visit card for Dr. Priya Nair.</t>
  </si>
  <si>
    <t xml:space="preserve">Run AFTER 003 seed</t>
  </si>
  <si>
    <t xml:space="preserve">B-07</t>
  </si>
  <si>
    <t xml:space="preserve">Doctor Consultation — Access Granted</t>
  </si>
  <si>
    <t xml:space="preserve">New doctor opens patient consultation with ACTIVE consent</t>
  </si>
  <si>
    <t xml:space="preserve">/consultation/[a4000000-...-001]</t>
  </si>
  <si>
    <t xml:space="preserve">1. Login as doctor_h02
2. Open consultation for appt a4000000-0000-0000-0000-000000000001
3. Verify history panel</t>
  </si>
  <si>
    <t xml:space="preserve">Page loads. History shows all 7 consultations. share_full_history=TRUE badge visible.</t>
  </si>
  <si>
    <t xml:space="preserve">B-08</t>
  </si>
  <si>
    <t xml:space="preserve">Doctor Consultation — Access Denied</t>
  </si>
  <si>
    <t xml:space="preserve">Old doctor tries to open patient consultation — consent REVOKED</t>
  </si>
  <si>
    <t xml:space="preserve">/consultation/[a3000000-...-001]</t>
  </si>
  <si>
    <t xml:space="preserve">1. Login as doctor_h01
2. Attempt to navigate to Ravi Kumar's consultation
3. Observe redirect</t>
  </si>
  <si>
    <t xml:space="preserve">Redirected to /dashboard/doctor?error=no-consent. No patient data shown.</t>
  </si>
  <si>
    <t xml:space="preserve">Core access control test</t>
  </si>
  <si>
    <t xml:space="preserve">B-09</t>
  </si>
  <si>
    <t xml:space="preserve">Receptionist Books Appointment</t>
  </si>
  <si>
    <t xml:space="preserve">Receptionist creates appointment on behalf of patient</t>
  </si>
  <si>
    <t xml:space="preserve">/receptionist</t>
  </si>
  <si>
    <t xml:space="preserve">1. Login as recep_h01
2. Find patient (GDPR lookup)
3. Book appointment with doctor_h01 for today+3 days</t>
  </si>
  <si>
    <t xml:space="preserve">Appointment created. booked_by_role=RECEPTIONIST in DB.</t>
  </si>
  <si>
    <t xml:space="preserve">B-10</t>
  </si>
  <si>
    <t xml:space="preserve">Receptionist GDPR Identity Lookup</t>
  </si>
  <si>
    <t xml:space="preserve">Receptionist finds patient using 2-step identity verification</t>
  </si>
  <si>
    <t xml:space="preserve">1. Login as recep_h01
2. Use identity lookup form
3. Step 1: name+mobile+DOB → get masked address
4. Step 2: enter correct address → full profile</t>
  </si>
  <si>
    <t xml:space="preserve">Step 1: masked address returned.
Step 2: full profile unlocked.</t>
  </si>
  <si>
    <t xml:space="preserve">B-11</t>
  </si>
  <si>
    <t xml:space="preserve">Receptionist Enters Prescription</t>
  </si>
  <si>
    <t xml:space="preserve">Receptionist enters prescription — entry_method=RECEPTIONIST</t>
  </si>
  <si>
    <t xml:space="preserve">1. Login as recep_h01
2. Open completed consultation
3. Enter prescription medicines + instructions
4. Save</t>
  </si>
  <si>
    <t xml:space="preserve">Prescription saved with entry_method=RECEPTIONIST, verified_by_doctor=FALSE.</t>
  </si>
  <si>
    <t xml:space="preserve">B-12</t>
  </si>
  <si>
    <t xml:space="preserve">Doctor Signs Off Prescription</t>
  </si>
  <si>
    <t xml:space="preserve">Doctor reviews and verifies RECEPTIONIST-entered prescription</t>
  </si>
  <si>
    <t xml:space="preserve">1. Login as doctor_h01
2. Go to pending sign-offs
3. Click Verify on a RECEPTIONIST prescription</t>
  </si>
  <si>
    <t xml:space="preserve">verified_by_doctor=TRUE, verified_by_doctor_id set, verified_at timestamp created.</t>
  </si>
  <si>
    <t xml:space="preserve">B-13</t>
  </si>
  <si>
    <t xml:space="preserve">Near-Me Doctor Search</t>
  </si>
  <si>
    <t xml:space="preserve">Patient searches for nearby AYUSH doctors using lat/lng</t>
  </si>
  <si>
    <t xml:space="preserve">1. Login as patient01
2. Use near-me search
3. Allow location or enter Chennai coordinates
4. Check results</t>
  </si>
  <si>
    <t xml:space="preserve">Doctors with lat/lng addresses returned ranked by distance.</t>
  </si>
  <si>
    <t xml:space="preserve">Requires lat/lng addendum SQL run</t>
  </si>
  <si>
    <t xml:space="preserve">B-14</t>
  </si>
  <si>
    <t xml:space="preserve">WhatsApp Support Link</t>
  </si>
  <si>
    <t xml:space="preserve">WhatsApp deep link opens correct hospital/platform number</t>
  </si>
  <si>
    <t xml:space="preserve">1. Login as patient01
2. Click WhatsApp support button
3. Verify link target</t>
  </si>
  <si>
    <t xml:space="preserve">Opens wa.me/919361287432 (platform fallback — hospital WA not yet set).</t>
  </si>
  <si>
    <t xml:space="preserve">B-15</t>
  </si>
  <si>
    <t xml:space="preserve">Group Admin — Multi-hospital View</t>
  </si>
  <si>
    <t xml:space="preserve">Group admin sees all hospitals in their group</t>
  </si>
  <si>
    <t xml:space="preserve">/hospital-admin</t>
  </si>
  <si>
    <t xml:space="preserve">1. Login as admin_grp01
2. Check hospital list</t>
  </si>
  <si>
    <t xml:space="preserve">C1 (Apollo Chennai) and C2 (Sri Dhanvantri) visible. C3/C4 not visible.</t>
  </si>
  <si>
    <t xml:space="preserve">B-16</t>
  </si>
  <si>
    <t xml:space="preserve">Near-Me: address/pincode fallback when GPS denied</t>
  </si>
  <si>
    <t xml:space="preserve">/doctors/near-me</t>
  </si>
  <si>
    <t xml:space="preserve">1. Go to /doctors/near-me
2. Click "Enter address / pincode"
3. Type "600034" or "T. Nagar Chennai"
4. Click Search</t>
  </si>
  <si>
    <t xml:space="preserve">Geocodes location → shows doctors within 10 km. No GPS permission needed.</t>
  </si>
  <si>
    <t xml:space="preserve">Session 8 fix</t>
  </si>
  <si>
    <t xml:space="preserve">B-17</t>
  </si>
  <si>
    <t xml:space="preserve">Near-Me: All AYUSH pill pre-selected</t>
  </si>
  <si>
    <t xml:space="preserve">1. Open /doctors/near-me → share location
2. Observe filter pills at top</t>
  </si>
  <si>
    <t xml:space="preserve">"All AYUSH" pill active (green). All 14 demo doctors can appear.</t>
  </si>
  <si>
    <t xml:space="preserve">B-18</t>
  </si>
  <si>
    <t xml:space="preserve">Booking: All AYUSH tile + specialization label on cards</t>
  </si>
  <si>
    <t xml:space="preserve">/appointments/new</t>
  </si>
  <si>
    <t xml:space="preserve">1. Go to /appointments/new
2. Observe step 1
3. Click "Search Doctors →" without changing selection
4. Observe step 2</t>
  </si>
  <si>
    <t xml:space="preserve">"All AYUSH" full-width tile pre-selected. All approved doctors shown. Specialization shown in green on each card.</t>
  </si>
  <si>
    <t xml:space="preserve">B-19</t>
  </si>
  <si>
    <t xml:space="preserve">Booking: pre-select doctor from profile page</t>
  </si>
  <si>
    <t xml:space="preserve">/doctors/[id] → /appointments/new</t>
  </si>
  <si>
    <t xml:space="preserve">1. Go to /doctors/near-me
2. Click "View &amp; Book" on any doctor
3. Click "Book Appointment" on profile page
4. Observe booking page</t>
  </si>
  <si>
    <t xml:space="preserve">Booking page opens at Step 2 with that doctor pre-selected. Slot picker shows immediately.</t>
  </si>
  <si>
    <t xml:space="preserve">Session 8 new</t>
  </si>
  <si>
    <t xml:space="preserve">B-20</t>
  </si>
  <si>
    <t xml:space="preserve">Doctor profile page: availability visible</t>
  </si>
  <si>
    <t xml:space="preserve">/doctors/[id]</t>
  </si>
  <si>
    <t xml:space="preserve">1. Run availability seed SQL first
2. Click any doctor from near-me
3. Observe /doctors/[id]</t>
  </si>
  <si>
    <t xml:space="preserve">Weekly schedule shows (e.g. Monday 09:00–13:00, 20 min slots). Languages chips visible. Book button works.</t>
  </si>
  <si>
    <t xml:space="preserve">Needs availability seed SQL</t>
  </si>
  <si>
    <t xml:space="preserve">B-21</t>
  </si>
  <si>
    <t xml:space="preserve">Hospital Admin: pending doctor verification</t>
  </si>
  <si>
    <t xml:space="preserve">/hospital-admin/doctors</t>
  </si>
  <si>
    <t xml:space="preserve">1. Login as admin_h01@gmail.com
2. Go to /hospital-admin/doctors
3. Observe top section</t>
  </si>
  <si>
    <t xml:space="preserve">Pending Verification section shows amber badge count. Approve/Reject buttons visible for each pending doctor.</t>
  </si>
  <si>
    <t xml:space="preserve">B-22</t>
  </si>
  <si>
    <t xml:space="preserve">Patient Dashboard — Upcoming Appointments</t>
  </si>
  <si>
    <t xml:space="preserve">Patient sees upcoming appointments with Join Now button for TELECONSULT</t>
  </si>
  <si>
    <t xml:space="preserve">1. Login patient01
2. Go to /dashboard/patient
3. Check Upcoming tab</t>
  </si>
  <si>
    <t xml:space="preserve">Appointment cards show doctor name, date, time. TELECONSULT shows blue Join Now banner.</t>
  </si>
  <si>
    <t xml:space="preserve">Session 10 new</t>
  </si>
  <si>
    <t xml:space="preserve">B-23</t>
  </si>
  <si>
    <t xml:space="preserve">Patient Dashboard — Past Appointments + Cancel</t>
  </si>
  <si>
    <t xml:space="preserve">Past tab shows history; cancel button on upcoming appointments</t>
  </si>
  <si>
    <t xml:space="preserve">1. Login patient01
2. Click Past tab
3. Verify history; then click Cancel on upcoming appt</t>
  </si>
  <si>
    <t xml:space="preserve">Past tab shows all previous appointments. Cancel button POSTs to /api/appointments/[id]/cancel.</t>
  </si>
  <si>
    <t xml:space="preserve">B-24</t>
  </si>
  <si>
    <t xml:space="preserve">Doctor Browse — No GPS Required</t>
  </si>
  <si>
    <t xml:space="preserve">Browsable doctor list at /doctors/browse with filters</t>
  </si>
  <si>
    <t xml:space="preserve">/doctors/browse</t>
  </si>
  <si>
    <t xml:space="preserve">1. Go to /doctors/browse
2. Filter by specialization AYU
3. Filter by language TA</t>
  </si>
  <si>
    <t xml:space="preserve">Doctor cards appear filtered correctly. No GPS prompt. Language filter shows only Tamil-speaking doctors.</t>
  </si>
  <si>
    <t xml:space="preserve">B-25</t>
  </si>
  <si>
    <t xml:space="preserve">Teleconsult Join — Patient sees Join Now banner</t>
  </si>
  <si>
    <t xml:space="preserve">Patient can join their Jitsi Meet room from dashboard</t>
  </si>
  <si>
    <t xml:space="preserve">1. Book a TELECONSULT appointment
2. Go to /dashboard/patient
3. Click Join Now</t>
  </si>
  <si>
    <t xml:space="preserve">Banner shows for TELECONSULT appointments. Clicking opens meet.jit.si/ayushpathi-{id}-{hex} in new tab.</t>
  </si>
  <si>
    <t xml:space="preserve">B-26</t>
  </si>
  <si>
    <t xml:space="preserve">Teleconsult Join — Doctor sees video consultations</t>
  </si>
  <si>
    <t xml:space="preserve">Doctor dashboard shows upcoming video consultations for next 7 days</t>
  </si>
  <si>
    <t xml:space="preserve">1. Login doctor_h01
2. Check "Upcoming Video Consultations" card</t>
  </si>
  <si>
    <t xml:space="preserve">Card shows TELECONSULT appointments for next 7 days. Join Now button links to Jitsi room.</t>
  </si>
  <si>
    <t xml:space="preserve">B-27</t>
  </si>
  <si>
    <t xml:space="preserve">Role Routing — Doctor lands on /dashboard/doctor</t>
  </si>
  <si>
    <t xml:space="preserve">After Session 11 fix, doctor login routes correctly (not patient portal)</t>
  </si>
  <si>
    <t xml:space="preserve">1. Login as doctor_h01@gmail.com / Ayush@2026!
2. Observe redirect</t>
  </si>
  <si>
    <t xml:space="preserve">Redirected to /dashboard/doctor. NOT /dashboard/patient.</t>
  </si>
  <si>
    <t xml:space="preserve">Session 11 fix — CRITICAL</t>
  </si>
  <si>
    <t xml:space="preserve">B-28</t>
  </si>
  <si>
    <t xml:space="preserve">Role Routing — Hospital Admin lands on /dashboard/admin</t>
  </si>
  <si>
    <t xml:space="preserve">After Session 11 fix, admin login routes correctly</t>
  </si>
  <si>
    <t xml:space="preserve">1. Login as admin_h01@gmail.com / Ayush@2026!
2. Observe redirect</t>
  </si>
  <si>
    <t xml:space="preserve">Redirected to /dashboard/admin. NOT /dashboard/patient.</t>
  </si>
  <si>
    <t xml:space="preserve">B-29</t>
  </si>
  <si>
    <t xml:space="preserve">Role Routing — Receptionist lands on /dashboard/receptionist</t>
  </si>
  <si>
    <t xml:space="preserve">After Session 11 fix, receptionist login routes correctly</t>
  </si>
  <si>
    <t xml:space="preserve">1. Login as recep_h01@gmail.com / Ayush@2026!
2. Observe redirect</t>
  </si>
  <si>
    <t xml:space="preserve">Redirected to /dashboard/receptionist. NOT /dashboard/patient.</t>
  </si>
  <si>
    <t xml:space="preserve">B-30</t>
  </si>
  <si>
    <t xml:space="preserve">Sign Out &amp; Switch User — No session bleed</t>
  </si>
  <si>
    <t xml:space="preserve">After signout, second login uses new credentials only (incognito test)</t>
  </si>
  <si>
    <t xml:space="preserve">patient01@gmail.com → patient02@gmail.com</t>
  </si>
  <si>
    <t xml:space="preserve">1. Login as patient01
2. Click Sign Out
3. In same or incognito window, login as patient02
4. Verify correct user dashboard</t>
  </si>
  <si>
    <t xml:space="preserve">patient02 dashboard shows Ananya Krishnan data. NO data from patient01 visible.</t>
  </si>
  <si>
    <t xml:space="preserve">Session 10 signout fix</t>
  </si>
  <si>
    <t xml:space="preserve">Screen / Route</t>
  </si>
  <si>
    <t xml:space="preserve">M-01</t>
  </si>
  <si>
    <t xml:space="preserve">Patient Login → Home</t>
  </si>
  <si>
    <t xml:space="preserve">Patient logs in and lands on /(tabs)/ home tab</t>
  </si>
  <si>
    <t xml:space="preserve">1. Open Expo app
2. Login patient01@gmail.com / Ayush@2026!
3. Observe home screen</t>
  </si>
  <si>
    <t xml:space="preserve">Home screen shows next appointment card for Dr. Priya Nair (CURRENT_DATE+7).</t>
  </si>
  <si>
    <t xml:space="preserve">Requires device/simulator</t>
  </si>
  <si>
    <t xml:space="preserve">M-02</t>
  </si>
  <si>
    <t xml:space="preserve">Approved doctor routed to /doctor-dashboard</t>
  </si>
  <si>
    <t xml:space="preserve">1. Login as doctor_h02
2. Observe route</t>
  </si>
  <si>
    <t xml:space="preserve">Lands on /doctor-dashboard. Active patients count = 1 (Ravi Kumar).</t>
  </si>
  <si>
    <t xml:space="preserve">M-03</t>
  </si>
  <si>
    <t xml:space="preserve">Pending doctor routed to /pending-approval</t>
  </si>
  <si>
    <t xml:space="preserve">/pending-approval</t>
  </si>
  <si>
    <t xml:space="preserve">1. Login as doctor_01
2. Observe route</t>
  </si>
  <si>
    <t xml:space="preserve">Lands on /pending-approval. Cannot access patient data.</t>
  </si>
  <si>
    <t xml:space="preserve">M-04</t>
  </si>
  <si>
    <t xml:space="preserve">Receptionist routed to /(receptionist)/</t>
  </si>
  <si>
    <t xml:space="preserve">1. Login as recep_h01
2. Observe route</t>
  </si>
  <si>
    <t xml:space="preserve">Lands on receptionist dashboard.</t>
  </si>
  <si>
    <t xml:space="preserve">M-05</t>
  </si>
  <si>
    <t xml:space="preserve">Hospital admin routed to /(hospital-admin)/</t>
  </si>
  <si>
    <t xml:space="preserve">1. Login as admin_h01
2. Observe route</t>
  </si>
  <si>
    <t xml:space="preserve">Lands on hospital admin dashboard.</t>
  </si>
  <si>
    <t xml:space="preserve">M-06</t>
  </si>
  <si>
    <t xml:space="preserve">Patient Next Visit Card</t>
  </si>
  <si>
    <t xml:space="preserve">Home screen shows upcoming appointment prominently</t>
  </si>
  <si>
    <t xml:space="preserve">1. Login as patient01
2. Check home screen card</t>
  </si>
  <si>
    <t xml:space="preserve">Card shows: Dr. Priya Nair | Sri Dhanvantri Chennai | CURRENT_DATE+7 | 10:00 AM | 'Book Again' button.</t>
  </si>
  <si>
    <t xml:space="preserve">M-07</t>
  </si>
  <si>
    <t xml:space="preserve">Patient Family Tab</t>
  </si>
  <si>
    <t xml:space="preserve">Patient sees family members added via seed</t>
  </si>
  <si>
    <t xml:space="preserve">/(tabs)/family</t>
  </si>
  <si>
    <t xml:space="preserve">1. Login as patient01
2. Navigate to Family tab
3. Check list</t>
  </si>
  <si>
    <t xml:space="preserve">Family members from seed visible (from patient_family table).</t>
  </si>
  <si>
    <t xml:space="preserve">M-08</t>
  </si>
  <si>
    <t xml:space="preserve">Patient Books Appointment</t>
  </si>
  <si>
    <t xml:space="preserve">Patient books new appointment from mobile</t>
  </si>
  <si>
    <t xml:space="preserve">1. Login as patient01
2. Tap 'Book Appointment'
3. Select doctor_h02, pick date+time
4. Confirm</t>
  </si>
  <si>
    <t xml:space="preserve">Appointment created with booked_by_role=PATIENT.</t>
  </si>
  <si>
    <t xml:space="preserve">M-09</t>
  </si>
  <si>
    <t xml:space="preserve">Doctor Views Active Patients</t>
  </si>
  <si>
    <t xml:space="preserve">Doctor sees only patients with ACTIVE consent</t>
  </si>
  <si>
    <t xml:space="preserve">1. Login as doctor_h01
2. Check active patients list</t>
  </si>
  <si>
    <t xml:space="preserve">0 active patients shown. Ravi Kumar NOT listed (consent REVOKED).</t>
  </si>
  <si>
    <t xml:space="preserve">Key negative test</t>
  </si>
  <si>
    <t xml:space="preserve">M-10</t>
  </si>
  <si>
    <t xml:space="preserve">Doctor Opens Consultation (Blocked)</t>
  </si>
  <si>
    <t xml:space="preserve">Old doctor mobile consultation attempt — blocked by REVOKED consent</t>
  </si>
  <si>
    <t xml:space="preserve">1. Login as doctor_h01
2. Try to open any consultation for Ravi Kumar</t>
  </si>
  <si>
    <t xml:space="preserve">Redirected to error state. No patient data displayed.</t>
  </si>
  <si>
    <t xml:space="preserve">M-11</t>
  </si>
  <si>
    <t xml:space="preserve">Receptionist Books via Mobile</t>
  </si>
  <si>
    <t xml:space="preserve">Receptionist books appointment from mobile app</t>
  </si>
  <si>
    <t xml:space="preserve">1. Login as recep_h01
2. Use mobile booking flow
3. Select patient, doctor, time</t>
  </si>
  <si>
    <t xml:space="preserve">Appointment created. booked_by_role=RECEPTIONIST.</t>
  </si>
  <si>
    <t xml:space="preserve">M-12</t>
  </si>
  <si>
    <t xml:space="preserve">Near-Me Doctor Search (Mobile)</t>
  </si>
  <si>
    <t xml:space="preserve">Patient searches nearby doctors from mobile</t>
  </si>
  <si>
    <t xml:space="preserve">1. Login as patient01
2. Use near-me feature
3. Grant location permission
4. Check results</t>
  </si>
  <si>
    <t xml:space="preserve">Doctors with lat/lng addresses listed, sorted by distance from current location.</t>
  </si>
  <si>
    <t xml:space="preserve">Requires lat/lng addendum SQL</t>
  </si>
  <si>
    <t xml:space="preserve">M-13</t>
  </si>
  <si>
    <t xml:space="preserve">My Doctors — Navigation</t>
  </si>
  <si>
    <t xml:space="preserve">Profile tab Quick Access 'My Doctors' button navigates to doctors screen</t>
  </si>
  <si>
    <t xml:space="preserve">/(tabs)/doctors</t>
  </si>
  <si>
    <t xml:space="preserve">1. Login as patient01
2. Go to Profile tab
3. Tap 'My Doctors' row in Quick Access card</t>
  </si>
  <si>
    <t xml:space="preserve">Navigated to /(tabs)/doctors screen. 'My Doctors' sub-tab active by default.</t>
  </si>
  <si>
    <t xml:space="preserve">Navigation fix committed in Session 14</t>
  </si>
  <si>
    <t xml:space="preserve">M-14</t>
  </si>
  <si>
    <t xml:space="preserve">My Doctors — Ravi Kumar state</t>
  </si>
  <si>
    <t xml:space="preserve">Ravi Kumar sees 1 ACTIVE + 2 REVOKED doctors. Tab shows count (1).</t>
  </si>
  <si>
    <t xml:space="preserve">1. Login patient01
2. Tap My Doctors on Profile or bottom nav
3. Check My Doctors tab</t>
  </si>
  <si>
    <t xml:space="preserve">Tab label: 'My Doctors (1)'
ACTIVE: Dr. Priya Nair (HOM) — Full History badge + Revoke button
REVOKED: Dr. Arjun Sharma (AYU) + Dr. Meena Pillai (YOG) — Re-grant buttons</t>
  </si>
  <si>
    <t xml:space="preserve">Seed 003 + 004 required</t>
  </si>
  <si>
    <t xml:space="preserve">M-15</t>
  </si>
  <si>
    <t xml:space="preserve">My Doctors — Mohan Pillai: 2 active doctors</t>
  </si>
  <si>
    <t xml:space="preserve">Mohan sees 2 ACTIVE doctors. One has Full History badge, one does not.</t>
  </si>
  <si>
    <t xml:space="preserve">1. Login patient03
2. Go to My Doctors tab
3. Check ACTIVE ACCESS section</t>
  </si>
  <si>
    <t xml:space="preserve">Tab label: 'My Doctors (2)'
ACTIVE: Dr. Venkat Rao (SID) — Full History badge visible
ACTIVE: Dr. Suresh Kumar (UNA) — NO badge (partial history only)
No REVOKED section rendered</t>
  </si>
  <si>
    <t xml:space="preserve">Seed 004 required. Tests share_full_history=FALSE rendering</t>
  </si>
  <si>
    <t xml:space="preserve">M-16</t>
  </si>
  <si>
    <t xml:space="preserve">My Doctors — Ananya: 1 active + 1 revoked</t>
  </si>
  <si>
    <t xml:space="preserve">Ananya sees 1 ACTIVE (full history) and 1 REVOKED doctor</t>
  </si>
  <si>
    <t xml:space="preserve">1. Login patient02
2. Go to My Doctors tab</t>
  </si>
  <si>
    <t xml:space="preserve">Tab label: 'My Doctors (1)'
ACTIVE: Dr. Meena Pillai (YOG) — Full History badge + Revoke button
REVOKED: Dr. Venkat Rao (SID) — Re-grant button</t>
  </si>
  <si>
    <t xml:space="preserve">M-17</t>
  </si>
  <si>
    <t xml:space="preserve">My Doctors — Revoke active doctor</t>
  </si>
  <si>
    <t xml:space="preserve">Patient revokes an ACTIVE doctor. Card moves to REVOKED section immediately.</t>
  </si>
  <si>
    <t xml:space="preserve">1. Login patient01
2. My Doctors tab → ACTIVE section
3. Tap 'Revoke Access' on Dr. Priya Nair
4. Confirm dialog → tap 'Revoke'</t>
  </si>
  <si>
    <t xml:space="preserve">Confirmation dialog appears. After confirm:
- Dr. Priya Nair card moves to REVOKED section
- ACTIVE count drops to 0
- Tab label: 'My Doctors (0)'
- No ACTIVE section header rendered</t>
  </si>
  <si>
    <t xml:space="preserve">After test: reset via SQL in mydoctors-test-scenarios.md</t>
  </si>
  <si>
    <t xml:space="preserve">M-18</t>
  </si>
  <si>
    <t xml:space="preserve">My Doctors — Revoke: Cancel does nothing</t>
  </si>
  <si>
    <t xml:space="preserve">Tapping Cancel on the revoke confirmation leaves the row unchanged</t>
  </si>
  <si>
    <t xml:space="preserve">1. Login patient01
2. Tap 'Revoke Access' on Dr. Priya Nair
3. Tap 'Cancel' in dialog</t>
  </si>
  <si>
    <t xml:space="preserve">Dialog closes. Dr. Priya Nair stays in ACTIVE section. No change to data.</t>
  </si>
  <si>
    <t xml:space="preserve">M-19</t>
  </si>
  <si>
    <t xml:space="preserve">My Doctors — Re-grant revoked doctor</t>
  </si>
  <si>
    <t xml:space="preserve">Patient re-grants a REVOKED doctor. Card moves to ACTIVE section without dialog.</t>
  </si>
  <si>
    <t xml:space="preserve">1. Login patient01
2. My Doctors tab → REVOKED section
3. Tap 'Re-grant Access' on Dr. Arjun Sharma</t>
  </si>
  <si>
    <t xml:space="preserve">No dialog (direct action).
Dr. Arjun Sharma moves to ACTIVE ACCESS section.
Tab count increases by 1.
No Full History badge (share_full_history was FALSE when revoked).</t>
  </si>
  <si>
    <t xml:space="preserve">Reset via SQL after test</t>
  </si>
  <si>
    <t xml:space="preserve">M-20</t>
  </si>
  <si>
    <t xml:space="preserve">My Doctors — Pull to refresh</t>
  </si>
  <si>
    <t xml:space="preserve">Pull-to-refresh reloads consent data from Supabase</t>
  </si>
  <si>
    <t xml:space="preserve">1. Login patient01
2. My Doctors tab
3. Pull down to refresh</t>
  </si>
  <si>
    <t xml:space="preserve">Refresh spinner appears. Data reloads. Same state as before if no external changes.</t>
  </si>
  <si>
    <t xml:space="preserve">M-21</t>
  </si>
  <si>
    <t xml:space="preserve">My Doctors — Empty state (no linked doctors)</t>
  </si>
  <si>
    <t xml:space="preserve">Freshly registered patient sees empty state with explanation text</t>
  </si>
  <si>
    <t xml:space="preserve">any new patient account</t>
  </si>
  <si>
    <t xml:space="preserve">1. Register new patient via /patients/new (receptionist)
2. Login with new account
3. Go to My Doctors tab</t>
  </si>
  <si>
    <t xml:space="preserve">Tab label: 'My Doctors' (no count badge)
Empty card: 👨‍⚕️ 'No doctor relationships yet'
Explanation text visible
Green privacy banner still shown</t>
  </si>
  <si>
    <t xml:space="preserve">Register via /patients/new on web. Temp password: Ayush@2026!</t>
  </si>
  <si>
    <t xml:space="preserve">M-22</t>
  </si>
  <si>
    <t xml:space="preserve">Find Near Me tab</t>
  </si>
  <si>
    <t xml:space="preserve">Second tab on doctors screen shows nearby doctors using device GPS</t>
  </si>
  <si>
    <t xml:space="preserve">/(tabs)/doctors → Find Near Me</t>
  </si>
  <si>
    <t xml:space="preserve">1. Login patient01
2. Go to doctors screen
3. Tap 'Find Near Me' tab
4. Tap 'Find Doctors Near Me' button
5. Grant location permission</t>
  </si>
  <si>
    <t xml:space="preserve">GPS request shown. After permission:
- Doctors within 20 km displayed
- Each card shows name, spec, distance badge
- If none found: 'No verified AYUSH doctors found within 20 km'</t>
  </si>
  <si>
    <t xml:space="preserve">Requires real GPS or mocked location</t>
  </si>
  <si>
    <t xml:space="preserve">Scenario</t>
  </si>
  <si>
    <t xml:space="preserve">Category</t>
  </si>
  <si>
    <t xml:space="preserve">Test Type</t>
  </si>
  <si>
    <t xml:space="preserve">Module</t>
  </si>
  <si>
    <t xml:space="preserve">SC-01</t>
  </si>
  <si>
    <t xml:space="preserve">Old doctor blocked — Ravi Kumar</t>
  </si>
  <si>
    <t xml:space="preserve">Dr. Arjun Sharma tries consultation after consent REVOKED</t>
  </si>
  <si>
    <t xml:space="preserve">Negative</t>
  </si>
  <si>
    <t xml:space="preserve">Browser/Mobile</t>
  </si>
  <si>
    <t xml:space="preserve">Access Control</t>
  </si>
  <si>
    <t xml:space="preserve">1. Login doctor_h01
2. Navigate to /consultation/[a3000000-...-001]
3. Check redirect</t>
  </si>
  <si>
    <t xml:space="preserve">→ /dashboard/doctor?error=no-consent. Zero patient data shown.</t>
  </si>
  <si>
    <t xml:space="preserve">Consent revoked 2026-06-01</t>
  </si>
  <si>
    <t xml:space="preserve">SC-02</t>
  </si>
  <si>
    <t xml:space="preserve">New doctor sees full history — Ravi</t>
  </si>
  <si>
    <t xml:space="preserve">Dr. Priya Nair opens Ravi Kumar — share_full_history=TRUE, must show all 7 consultations</t>
  </si>
  <si>
    <t xml:space="preserve">Positive</t>
  </si>
  <si>
    <t xml:space="preserve">1. Login doctor_h02
2. Open consultation a4000000-...-001
3. Check history panel</t>
  </si>
  <si>
    <t xml:space="preserve">All 7 consultations visible (5 Ayurveda + 2 Homeopathy). Old Rx visible.</t>
  </si>
  <si>
    <t xml:space="preserve">share_full_history=TRUE</t>
  </si>
  <si>
    <t xml:space="preserve">SC-03</t>
  </si>
  <si>
    <t xml:space="preserve">Old doctor blocked — Ananya</t>
  </si>
  <si>
    <t xml:space="preserve">Dr. Venkat Rao (consent REVOKED 2026-06-07) cannot access Ananya</t>
  </si>
  <si>
    <t xml:space="preserve">1. Login doctor_grp01
2. Try Ananya Krishnan consultation
3. Observe</t>
  </si>
  <si>
    <t xml:space="preserve">→ /dashboard/doctor?error=no-consent</t>
  </si>
  <si>
    <t xml:space="preserve">SC-04</t>
  </si>
  <si>
    <t xml:space="preserve">New doctor sees Ananya history</t>
  </si>
  <si>
    <t xml:space="preserve">Dr. Meena Pillai (ACTIVE, share_full_history=TRUE) sees all 3 Siddha visits</t>
  </si>
  <si>
    <t xml:space="preserve">1. Login doctor_grp02
2. Open Ananya Krishnan consultation
3. Check history</t>
  </si>
  <si>
    <t xml:space="preserve">3 Siddha consultations from Dr. Venkat visible in history panel</t>
  </si>
  <si>
    <t xml:space="preserve">SC-05</t>
  </si>
  <si>
    <t xml:space="preserve">Mohan Pillai ongoing — same doctor access</t>
  </si>
  <si>
    <t xml:space="preserve">Dr. Venkat Rao has ACTIVE consent for Mohan Pillai. All 3 visits visible.</t>
  </si>
  <si>
    <t xml:space="preserve">1. Login doctor_grp01
2. Open Mohan Pillai consultation</t>
  </si>
  <si>
    <t xml:space="preserve">Consultation loads. All 3 arthritis visits shown.</t>
  </si>
  <si>
    <t xml:space="preserve">No consent revoke — ongoing</t>
  </si>
  <si>
    <t xml:space="preserve">SC-06</t>
  </si>
  <si>
    <t xml:space="preserve">Patient sees 7 consultations (both doctors)</t>
  </si>
  <si>
    <t xml:space="preserve">Ravi Kumar records page shows all 7 consultations + 1 upcoming</t>
  </si>
  <si>
    <t xml:space="preserve">Browser</t>
  </si>
  <si>
    <t xml:space="preserve">Patient Records</t>
  </si>
  <si>
    <t xml:space="preserve">1. Login patient01
2. Go to /records
3. Count consultations + check next visit</t>
  </si>
  <si>
    <t xml:space="preserve">7 past consultations, 1 upcoming (Dr. Priya Nair, CURRENT_DATE+7)</t>
  </si>
  <si>
    <t xml:space="preserve">SC-07</t>
  </si>
  <si>
    <t xml:space="preserve">DOCTOR_DIRECT Rx auto-verified</t>
  </si>
  <si>
    <t xml:space="preserve">Prescriptions c3000000-...-001/003/005 must have verified_by_doctor=TRUE without manual sign-off</t>
  </si>
  <si>
    <t xml:space="preserve">API</t>
  </si>
  <si>
    <t xml:space="preserve">Prescription Audit</t>
  </si>
  <si>
    <t xml:space="preserve">GET /api/doctor/prescription/verify
Check IDs: c3000000-0000-0000-0000-000000000001, 003, 005</t>
  </si>
  <si>
    <t xml:space="preserve">verified_by_doctor=TRUE, entry_method=DOCTOR_DIRECT for all 3</t>
  </si>
  <si>
    <t xml:space="preserve">SC-08</t>
  </si>
  <si>
    <t xml:space="preserve">RECEPTIONIST Rx entry shows correct audit fields</t>
  </si>
  <si>
    <t xml:space="preserve">Prescriptions c3000000-...-002/004 entered by recep_h01 — check audit trail</t>
  </si>
  <si>
    <t xml:space="preserve">Query prescription table for c3000000-...-002 and c3000000-...-004
Check entered_by_role, entry_method, verified_by_doctor_id</t>
  </si>
  <si>
    <t xml:space="preserve">entry_method=RECEPTIONIST, entered_by_role=RECEPTIONIST, verified_by_doctor=TRUE (signed in seed)</t>
  </si>
  <si>
    <t xml:space="preserve">SC-09</t>
  </si>
  <si>
    <t xml:space="preserve">Wrong doctor cannot sign off Rx</t>
  </si>
  <si>
    <t xml:space="preserve">doctor_h01 tries to PATCH verify c4000000-...-001 (belongs to doctor_h02 consultation)</t>
  </si>
  <si>
    <t xml:space="preserve">PATCH /api/doctor/prescription/verify
Body: {prescription_id: c4000000-0000-0000-0000-000000000001, verified:true}
Bearer: doctor_h01 token</t>
  </si>
  <si>
    <t xml:space="preserve">SC-10</t>
  </si>
  <si>
    <t xml:space="preserve">Consent table verification (SQL)</t>
  </si>
  <si>
    <t xml:space="preserve">Run verification SELECT from 003 seed — confirm 5 rows with correct status</t>
  </si>
  <si>
    <t xml:space="preserve">Manual (SQL)</t>
  </si>
  <si>
    <t xml:space="preserve">Supabase SQL Editor</t>
  </si>
  <si>
    <t xml:space="preserve">Run the SELECT query at bottom of supabase/seeds/003_rich_patient_history.sql</t>
  </si>
  <si>
    <t xml:space="preserve">5 rows: Ananya/Venkat=REVOKED, Ananya/Meena=ACTIVE, Ravi/Arjun=REVOKED, Ravi/Priya=ACTIVE, Mohan/Venkat=ACTIVE</t>
  </si>
  <si>
    <t xml:space="preserve">Confirmed via screenshot</t>
  </si>
  <si>
    <t xml:space="preserve">✅ Screenshot verified</t>
  </si>
  <si>
    <t xml:space="preserve">Rx ID (short)</t>
  </si>
  <si>
    <t xml:space="preserve">Doctor</t>
  </si>
  <si>
    <t xml:space="preserve">Visit #</t>
  </si>
  <si>
    <t xml:space="preserve">Days Ago</t>
  </si>
  <si>
    <t xml:space="preserve">entry_method</t>
  </si>
  <si>
    <t xml:space="preserve">Entered By</t>
  </si>
  <si>
    <t xml:space="preserve">Entered By Role</t>
  </si>
  <si>
    <t xml:space="preserve">verified_by_doctor</t>
  </si>
  <si>
    <t xml:space="preserve">Verify Doctor</t>
  </si>
  <si>
    <t xml:space="preserve">Key Medicines</t>
  </si>
  <si>
    <t xml:space="preserve">c3000000-...-001</t>
  </si>
  <si>
    <t xml:space="preserve">1 (Initial)</t>
  </si>
  <si>
    <t xml:space="preserve">~120</t>
  </si>
  <si>
    <t xml:space="preserve">DOCTOR_DIRECT</t>
  </si>
  <si>
    <t xml:space="preserve">DOCTOR</t>
  </si>
  <si>
    <t xml:space="preserve">TRUE</t>
  </si>
  <si>
    <t xml:space="preserve">Trikatu Churna 3g BD + Hingvashtak Churna 2g HS</t>
  </si>
  <si>
    <t xml:space="preserve">c3000000-...-002</t>
  </si>
  <si>
    <t xml:space="preserve">2 (Follow-up)</t>
  </si>
  <si>
    <t xml:space="preserve">~90</t>
  </si>
  <si>
    <t xml:space="preserve">RECEPTIONIST</t>
  </si>
  <si>
    <t xml:space="preserve">Trikatu Churna 3g BD + Triphala Churna 5g HS</t>
  </si>
  <si>
    <t xml:space="preserve">c3000000-...-003</t>
  </si>
  <si>
    <t xml:space="preserve">3 (Panchakarma prep)</t>
  </si>
  <si>
    <t xml:space="preserve">~60</t>
  </si>
  <si>
    <t xml:space="preserve">Trikatu Churna + Triphala Churna + Ghrita 30ml (Snehapana)</t>
  </si>
  <si>
    <t xml:space="preserve">c3000000-...-004</t>
  </si>
  <si>
    <t xml:space="preserve">4 (Post-Virechana)</t>
  </si>
  <si>
    <t xml:space="preserve">~42</t>
  </si>
  <si>
    <t xml:space="preserve">Chyawanprash 10g BD + Amalaki Rasayana 5g AM + Trikatu 1g OD maintenance</t>
  </si>
  <si>
    <t xml:space="preserve">c3000000-...-005</t>
  </si>
  <si>
    <t xml:space="preserve">5 (Final/Discharge)</t>
  </si>
  <si>
    <t xml:space="preserve">~21</t>
  </si>
  <si>
    <t xml:space="preserve">Chyawanprash 10g OD + Amalaki Rasayana 5g OD (maintenance)</t>
  </si>
  <si>
    <t xml:space="preserve">c4000000-...-001</t>
  </si>
  <si>
    <t xml:space="preserve">1 (HOM Intake)</t>
  </si>
  <si>
    <t xml:space="preserve">~14</t>
  </si>
  <si>
    <t xml:space="preserve">Phosphoric acid 200C (single dose) + Continue Chyawanprash</t>
  </si>
  <si>
    <t xml:space="preserve">c4000000-...-002</t>
  </si>
  <si>
    <t xml:space="preserve">2 (HOM Follow-up)</t>
  </si>
  <si>
    <t xml:space="preserve">~7</t>
  </si>
  <si>
    <t xml:space="preserve">Lycopodium 30C 4 globules twice weekly + Phosphoric acid (hold)</t>
  </si>
  <si>
    <t xml:space="preserve">Legend:</t>
  </si>
  <si>
    <t xml:space="preserve">  Green = DOCTOR_DIRECT (auto-verified)</t>
  </si>
  <si>
    <t xml:space="preserve">  Blue = RECEPTIONIST entry (doctor must verify)</t>
  </si>
  <si>
    <t xml:space="preserve">Metric</t>
  </si>
  <si>
    <t xml:space="preserve">Count</t>
  </si>
  <si>
    <t xml:space="preserve">── API TESTS (Session 6 — Automated) ──</t>
  </si>
  <si>
    <t xml:space="preserve">Total API Tests Run</t>
  </si>
  <si>
    <t xml:space="preserve">All automated in Session 6</t>
  </si>
  <si>
    <t xml:space="preserve">Fixed (bugs found+resolved)</t>
  </si>
  <si>
    <t xml:space="preserve">4 bugs fixed</t>
  </si>
  <si>
    <t xml:space="preserve">N/A (design decision)</t>
  </si>
  <si>
    <t xml:space="preserve">e.g. /records/export cookie-based</t>
  </si>
  <si>
    <t xml:space="preserve">── BROWSER TESTS (Manual — Your Testing) ──</t>
  </si>
  <si>
    <t xml:space="preserve">Total Browser Tests</t>
  </si>
  <si>
    <t xml:space="preserve">B-01 to B-15</t>
  </si>
  <si>
    <t xml:space="preserve">Fail</t>
  </si>
  <si>
    <t xml:space="preserve">── MOBILE TESTS (Manual — Your Testing) ──</t>
  </si>
  <si>
    <t xml:space="preserve">Total Mobile Tests</t>
  </si>
  <si>
    <t xml:space="preserve">M-01 to M-12</t>
  </si>
  <si>
    <t xml:space="preserve">── SCENARIO TESTS — Seed 003 (Browser/API) ──</t>
  </si>
  <si>
    <t xml:space="preserve">Total Scenario Tests</t>
  </si>
  <si>
    <t xml:space="preserve">SC-01 to SC-10</t>
  </si>
  <si>
    <t xml:space="preserve">Completed/Pass</t>
  </si>
  <si>
    <t xml:space="preserve">── GRAND TOTAL ──</t>
  </si>
  <si>
    <t xml:space="preserve">All Tests</t>
  </si>
  <si>
    <t xml:space="preserve">Still To Run (Not Started)</t>
  </si>
  <si>
    <t xml:space="preserve">── MY DOCTORS TESTS (Mobile — Session 14) ──</t>
  </si>
  <si>
    <t xml:space="preserve">My Doctors Mobile Tests added</t>
  </si>
  <si>
    <t xml:space="preserve">M-13 to M-22</t>
  </si>
  <si>
    <t xml:space="preserve">My Doctors Scenario Tests added</t>
  </si>
  <si>
    <t xml:space="preserve">MD-01 to MD-10</t>
  </si>
  <si>
    <t xml:space="preserve">RLS fix applied</t>
  </si>
  <si>
    <t xml:space="preserve">Migration 20260627_consent_rls.sql — patient can now read/update own consents</t>
  </si>
  <si>
    <t xml:space="preserve">Seed 004 applied</t>
  </si>
  <si>
    <t xml:space="preserve">004_mydoctors_test_scenarios.sql — Mohan gets 2nd active doctor (partial history)</t>
  </si>
  <si>
    <t xml:space="preserve">── SESSION 15 ──</t>
  </si>
  <si>
    <t xml:space="preserve">Receptionist Booking tests (RB-01..10)</t>
  </si>
  <si>
    <t xml:space="preserve">New sheet: Receptionist Booking — S15</t>
  </si>
  <si>
    <t xml:space="preserve">Admin Appointments tests (AA-01..10)</t>
  </si>
  <si>
    <t xml:space="preserve">New sheet: Admin Appointments — S15</t>
  </si>
  <si>
    <t xml:space="preserve">New API route: /api/receptionist/hospital-doctors</t>
  </si>
  <si>
    <t xml:space="preserve">Returns hospital-scoped doctor roster for booking</t>
  </si>
  <si>
    <t xml:space="preserve">WhatsApp OTP tests (OTP-01..13)</t>
  </si>
  <si>
    <t xml:space="preserve">New sheet: WhatsApp OTP — S15</t>
  </si>
  <si>
    <t xml:space="preserve">My Doctors Screen — Patient Consent Scenarios (Seed 003 + 004)</t>
  </si>
  <si>
    <t xml:space="preserve">Login Email</t>
  </si>
  <si>
    <t xml:space="preserve">Test Users — Doctors</t>
  </si>
  <si>
    <t xml:space="preserve">Seed Required</t>
  </si>
  <si>
    <t xml:space="preserve">Expected: Tab Label</t>
  </si>
  <si>
    <t xml:space="preserve">Expected: ACTIVE Doctors</t>
  </si>
  <si>
    <t xml:space="preserve">Expected: REVOKED Doctors</t>
  </si>
  <si>
    <t xml:space="preserve">Action to Test</t>
  </si>
  <si>
    <t xml:space="preserve">Expected After Action</t>
  </si>
  <si>
    <t xml:space="preserve">MD-01</t>
  </si>
  <si>
    <t xml:space="preserve">Empty state — no consent</t>
  </si>
  <si>
    <t xml:space="preserve">Any fresh patient</t>
  </si>
  <si>
    <t xml:space="preserve">(none)</t>
  </si>
  <si>
    <t xml:space="preserve">None</t>
  </si>
  <si>
    <t xml:space="preserve">Empty State</t>
  </si>
  <si>
    <t xml:space="preserve">My Doctors (no count)</t>
  </si>
  <si>
    <t xml:space="preserve">(none — empty card shown)</t>
  </si>
  <si>
    <t xml:space="preserve">Navigate to My Doctors tab</t>
  </si>
  <si>
    <t xml:space="preserve">👨‍⚕️ 'No doctor relationships yet' card. Privacy banner visible.</t>
  </si>
  <si>
    <t xml:space="preserve">MD-02</t>
  </si>
  <si>
    <t xml:space="preserve">Ravi Kumar — 1 Active + 2 Revoked</t>
  </si>
  <si>
    <t xml:space="preserve">ACTIVE: Dr. Priya Nair (HOM) share_full=TRUE
REVOKED: Dr. Arjun Sharma (AYU) + Dr. Meena Pillai (YOG)</t>
  </si>
  <si>
    <t xml:space="preserve">Seed 003 + 004</t>
  </si>
  <si>
    <t xml:space="preserve">Mixed state</t>
  </si>
  <si>
    <t xml:space="preserve">My Doctors (1)</t>
  </si>
  <si>
    <t xml:space="preserve">Dr. Priya Nair — Full History badge ✅ + Revoke button</t>
  </si>
  <si>
    <t xml:space="preserve">Dr. Arjun Sharma — Re-grant button
Dr. Meena Pillai — Re-grant button</t>
  </si>
  <si>
    <t xml:space="preserve">Verify display only</t>
  </si>
  <si>
    <t xml:space="preserve">Correct sections and badges rendered</t>
  </si>
  <si>
    <t xml:space="preserve">MD-03</t>
  </si>
  <si>
    <t xml:space="preserve">Ananya Krishnan — 1 Active + 1 Revoked</t>
  </si>
  <si>
    <t xml:space="preserve">ACTIVE: Dr. Meena Pillai (YOG) share_full=TRUE
REVOKED: Dr. Venkat Rao (SID) share_full=FALSE</t>
  </si>
  <si>
    <t xml:space="preserve">Dr. Meena Pillai — Full History badge ✅ + Revoke button</t>
  </si>
  <si>
    <t xml:space="preserve">Dr. Venkat Rao — Re-grant button</t>
  </si>
  <si>
    <t xml:space="preserve">Correct sections rendered</t>
  </si>
  <si>
    <t xml:space="preserve">MD-04</t>
  </si>
  <si>
    <t xml:space="preserve">Mohan Pillai — 2 Active, different history access</t>
  </si>
  <si>
    <t xml:space="preserve">ACTIVE: Dr. Venkat Rao (SID) share_full=TRUE
ACTIVE: Dr. Suresh Kumar (UNA) share_full=FALSE</t>
  </si>
  <si>
    <t xml:space="preserve">Full history vs partial</t>
  </si>
  <si>
    <t xml:space="preserve">My Doctors (2)</t>
  </si>
  <si>
    <t xml:space="preserve">Dr. Venkat Rao — Full History badge ✅
Dr. Suresh Kumar — NO badge ❌ (partial only)</t>
  </si>
  <si>
    <t xml:space="preserve">(none — no REVOKED section rendered)</t>
  </si>
  <si>
    <t xml:space="preserve">Verify badge rendering per doctor</t>
  </si>
  <si>
    <t xml:space="preserve">Badge present on Venkat Rao only. Suresh Kumar card has NO badge.</t>
  </si>
  <si>
    <t xml:space="preserve">MD-05</t>
  </si>
  <si>
    <t xml:space="preserve">Revoke: Active → Revoked (with confirmation)</t>
  </si>
  <si>
    <t xml:space="preserve">Revoking Dr. Priya Nair (HOM)</t>
  </si>
  <si>
    <t xml:space="preserve">Revoke flow</t>
  </si>
  <si>
    <t xml:space="preserve">My Doctors (0) after revoke</t>
  </si>
  <si>
    <t xml:space="preserve">(none after revoke)</t>
  </si>
  <si>
    <t xml:space="preserve">Dr. Priya Nair (newly revoked)
+ existing 2 revoked</t>
  </si>
  <si>
    <t xml:space="preserve">Tap Revoke Access → Confirm in dialog</t>
  </si>
  <si>
    <t xml:space="preserve">Card moves to REVOKED instantly. Tab count drops to 0. ACTIVE section disappears.</t>
  </si>
  <si>
    <t xml:space="preserve">MD-06</t>
  </si>
  <si>
    <t xml:space="preserve">Revoke: Cancel confirmation → no change</t>
  </si>
  <si>
    <t xml:space="preserve">Attempting to revoke Dr. Priya Nair</t>
  </si>
  <si>
    <t xml:space="preserve">Revoke — negative</t>
  </si>
  <si>
    <t xml:space="preserve">My Doctors (1) — unchanged</t>
  </si>
  <si>
    <t xml:space="preserve">Dr. Priya Nair still ACTIVE</t>
  </si>
  <si>
    <t xml:space="preserve">2 revoked unchanged</t>
  </si>
  <si>
    <t xml:space="preserve">Tap Revoke → tap Cancel in dialog</t>
  </si>
  <si>
    <t xml:space="preserve">Dialog closes. No change. Dr. Priya Nair stays ACTIVE.</t>
  </si>
  <si>
    <t xml:space="preserve">MD-07</t>
  </si>
  <si>
    <t xml:space="preserve">Re-grant: Revoked → Active (no dialog)</t>
  </si>
  <si>
    <t xml:space="preserve">Re-granting Dr. Arjun Sharma (AYU) — share_full=FALSE</t>
  </si>
  <si>
    <t xml:space="preserve">Re-grant flow</t>
  </si>
  <si>
    <t xml:space="preserve">My Doctors (2) after re-grant</t>
  </si>
  <si>
    <t xml:space="preserve">Dr. Priya Nair (existing)
Dr. Arjun Sharma (re-granted) — NO badge</t>
  </si>
  <si>
    <t xml:space="preserve">Dr. Meena Pillai only</t>
  </si>
  <si>
    <t xml:space="preserve">Tap Re-grant Access on Dr. Arjun Sharma</t>
  </si>
  <si>
    <t xml:space="preserve">Card moves to ACTIVE immediately, NO dialog. No Full History badge (share_full=FALSE preserved).</t>
  </si>
  <si>
    <t xml:space="preserve">MD-08</t>
  </si>
  <si>
    <t xml:space="preserve">Re-grant all → empty REVOKED section</t>
  </si>
  <si>
    <t xml:space="preserve">Re-grant Dr. Venkat Rao from REVOKED</t>
  </si>
  <si>
    <t xml:space="preserve">Re-grant — section disappears</t>
  </si>
  <si>
    <t xml:space="preserve">Dr. Meena Pillai + Dr. Venkat Rao</t>
  </si>
  <si>
    <t xml:space="preserve">(none — REVOKED section disappears)</t>
  </si>
  <si>
    <t xml:space="preserve">Tap Re-grant on Dr. Venkat Rao</t>
  </si>
  <si>
    <t xml:space="preserve">REVOKED section header disappears when last revoked row is re-granted.</t>
  </si>
  <si>
    <t xml:space="preserve">MD-09</t>
  </si>
  <si>
    <t xml:space="preserve">Pull-to-refresh reloads data</t>
  </si>
  <si>
    <t xml:space="preserve">Any consented doctor</t>
  </si>
  <si>
    <t xml:space="preserve">Data refresh</t>
  </si>
  <si>
    <t xml:space="preserve">Same as before refresh</t>
  </si>
  <si>
    <t xml:space="preserve">Same doctors</t>
  </si>
  <si>
    <t xml:space="preserve">Pull down on My Doctors tab</t>
  </si>
  <si>
    <t xml:space="preserve">Refresh spinner shows. Data reloads from Supabase. Same state returned.</t>
  </si>
  <si>
    <t xml:space="preserve">MD-10</t>
  </si>
  <si>
    <t xml:space="preserve">Doctor cannot see REVOKED patient records</t>
  </si>
  <si>
    <t xml:space="preserve">Dr. Arjun Sharma (REVOKED by Ravi Kumar)</t>
  </si>
  <si>
    <t xml:space="preserve">Access control — doctor side</t>
  </si>
  <si>
    <t xml:space="preserve">N/A (web test)</t>
  </si>
  <si>
    <t xml:space="preserve">Login as doctor_h01 → open /patients/[Ravi's patient_id]</t>
  </si>
  <si>
    <t xml:space="preserve">Locked screen: 'No active consent from this patient'. Zero data visible.</t>
  </si>
  <si>
    <t xml:space="preserve">RB-01</t>
  </si>
  <si>
    <t xml:space="preserve">GDPR Step 1 — Patient Found</t>
  </si>
  <si>
    <t xml:space="preserve">Receptionist enters correct mobile+DOB+name for Ravi Kumar</t>
  </si>
  <si>
    <t xml:space="preserve">/receptionist/book</t>
  </si>
  <si>
    <t xml:space="preserve">1. Login as recep_h01
2. Go to /receptionist/book
3. Enter: Ravi / Kumar / 9876543210 / DOB
4. Click Find Patient</t>
  </si>
  <si>
    <t xml:space="preserve">Step moves to "Verify ID". Masked address shown (e.g. "42 **...eet")</t>
  </si>
  <si>
    <t xml:space="preserve">RB-02</t>
  </si>
  <si>
    <t xml:space="preserve">GDPR Step 1 — Patient Not Found</t>
  </si>
  <si>
    <t xml:space="preserve">Receptionist enters wrong mobile number</t>
  </si>
  <si>
    <t xml:space="preserve">1. Enter: Ravi / Kumar / 0000000000 / DOB
2. Click Find Patient</t>
  </si>
  <si>
    <t xml:space="preserve">Error: "No patient found with these details."</t>
  </si>
  <si>
    <t xml:space="preserve">RB-03</t>
  </si>
  <si>
    <t xml:space="preserve">GDPR Step 2 — Address Confirmed</t>
  </si>
  <si>
    <t xml:space="preserve">Receptionist enters correct address to unlock booking</t>
  </si>
  <si>
    <t xml:space="preserve">1. Complete RB-01
2. Enter correct address (e.g. "42 Gandhi Street")
3. Click Confirm Identity</t>
  </si>
  <si>
    <t xml:space="preserve">Step moves to "Choose Doctor". Patient banner shows Ravi Kumar ✓ Verified</t>
  </si>
  <si>
    <t xml:space="preserve">RB-04</t>
  </si>
  <si>
    <t xml:space="preserve">GDPR Step 2 — Address Mismatch</t>
  </si>
  <si>
    <t xml:space="preserve">Wrong address blocks booking — identity gate holds</t>
  </si>
  <si>
    <t xml:space="preserve">1. Complete RB-01
2. Enter wrong address (e.g. "99 Fake Street")
3. Click Confirm Identity</t>
  </si>
  <si>
    <t xml:space="preserve">Error: "Address did not match. Cannot confirm identity." Stays on Step 2.</t>
  </si>
  <si>
    <t xml:space="preserve">RB-05</t>
  </si>
  <si>
    <t xml:space="preserve">Doctor Selection — Hospital Roster Only</t>
  </si>
  <si>
    <t xml:space="preserve">Only doctors linked to recep_h01 hospital (Apollo Ayurveda C1) appear</t>
  </si>
  <si>
    <t xml:space="preserve">1. Complete RB-03
2. View doctor list on Step 3</t>
  </si>
  <si>
    <t xml:space="preserve">Only Dr. Arjun Sharma (AYU) appears — C1 hospital doctor. Other hospital doctors NOT shown.</t>
  </si>
  <si>
    <t xml:space="preserve">hospital_doctor junction filters to hospital_c1 only</t>
  </si>
  <si>
    <t xml:space="preserve">RB-06</t>
  </si>
  <si>
    <t xml:space="preserve">Slot Picker — Availability Driven</t>
  </si>
  <si>
    <t xml:space="preserve">Slots generated from doctor_availability; booked slots marked taken</t>
  </si>
  <si>
    <t xml:space="preserve">1. Complete RB-05, select Dr. Arjun Sharma
2. Pick a date with availability
3. Observe slots</t>
  </si>
  <si>
    <t xml:space="preserve">Time slots shown based on doctor_availability.start/end/slot_duration. Already booked times show "(taken)"</t>
  </si>
  <si>
    <t xml:space="preserve">RB-07</t>
  </si>
  <si>
    <t xml:space="preserve">Full Booking — F2F Walk-in</t>
  </si>
  <si>
    <t xml:space="preserve">Receptionist completes end-to-end booking as walk-in</t>
  </si>
  <si>
    <t xml:space="preserve">1. Complete GDPR lookup (RB-01 to RB-03)
2. Select doctor → pick date → pick slot
3. Check "Walk-in patient" box
4. Add note → Click Book Appointment</t>
  </si>
  <si>
    <t xml:space="preserve">Redirected to /dashboard/receptionist?booked=1. New appointment visible in today's list with booked_by_role=RECEPTIONIST, is_walk_in=TRUE</t>
  </si>
  <si>
    <t xml:space="preserve">RB-08</t>
  </si>
  <si>
    <t xml:space="preserve">Full Booking — Teleconsult</t>
  </si>
  <si>
    <t xml:space="preserve">Receptionist books teleconsult for confirmed patient</t>
  </si>
  <si>
    <t xml:space="preserve">1. Select a teleconsult-enabled doctor
2. Pick slot → choose Teleconsult type
3. Book</t>
  </si>
  <si>
    <t xml:space="preserve">Appointment created with type=TELECONSULT, booked_by_role=RECEPTIONIST</t>
  </si>
  <si>
    <t xml:space="preserve">Teleconsult option only shown if doctor.teleconsult_enabled=true</t>
  </si>
  <si>
    <t xml:space="preserve">RB-09</t>
  </si>
  <si>
    <t xml:space="preserve">Non-Receptionist Access Blocked</t>
  </si>
  <si>
    <t xml:space="preserve">Patient or doctor cannot access /receptionist/book</t>
  </si>
  <si>
    <t xml:space="preserve">1. Login as patient01
2. Navigate to /receptionist/book</t>
  </si>
  <si>
    <t xml:space="preserve">API returns 403. Page shows "Access denied. Receptionist account required."</t>
  </si>
  <si>
    <t xml:space="preserve">RB-10</t>
  </si>
  <si>
    <t xml:space="preserve">Back Navigation — Steps Preserved</t>
  </si>
  <si>
    <t xml:space="preserve">Receptionist can go back from slot picker to doctor list without losing patient</t>
  </si>
  <si>
    <t xml:space="preserve">1. Reach Step 4 (slot picker)
2. Click ← Back
3. Change doctor
4. Re-pick slot</t>
  </si>
  <si>
    <t xml:space="preserve">Returns to Step 3 with patient still confirmed. New doctor selected. Slots reload.</t>
  </si>
  <si>
    <t xml:space="preserve">AA-01</t>
  </si>
  <si>
    <t xml:space="preserve">HOSPITAL scope — today's appointments</t>
  </si>
  <si>
    <t xml:space="preserve">Hospital admin (HOSPITAL scope) sees only their hospital's appointments</t>
  </si>
  <si>
    <t xml:space="preserve">/hospital-admin/appointments</t>
  </si>
  <si>
    <t xml:space="preserve">1. Login as admin_h01 (HOSPITAL scope → C1)
2. Go to /hospital-admin/appointments
3. Observe appointment list</t>
  </si>
  <si>
    <t xml:space="preserve">Shows only Apollo Ayurveda Chennai (C1) appointments for today. Scope badge: "HOSPITAL". No other hospital data.</t>
  </si>
  <si>
    <t xml:space="preserve">AA-02</t>
  </si>
  <si>
    <t xml:space="preserve">GROUP scope — multi-hospital view</t>
  </si>
  <si>
    <t xml:space="preserve">Group admin (GROUP scope) sees all hospitals in their group</t>
  </si>
  <si>
    <t xml:space="preserve">1. Login as admin_grp01 (GROUP → SunHealth: C1+C2)
2. Go to /hospital-admin/appointments</t>
  </si>
  <si>
    <t xml:space="preserve">Shows appointments from C1 (Apollo Ayurveda) AND C2 (Sri Dhanvantri). Hospital column visible. Scope badge: "GROUP".</t>
  </si>
  <si>
    <t xml:space="preserve">AA-03</t>
  </si>
  <si>
    <t xml:space="preserve">GLOBAL scope — all hospitals</t>
  </si>
  <si>
    <t xml:space="preserve">Global admin sees all hospitals platform-wide</t>
  </si>
  <si>
    <t xml:space="preserve">1. Login as a GLOBAL scope admin
2. Go to /hospital-admin/appointments</t>
  </si>
  <si>
    <t xml:space="preserve">Shows appointments from all 4 hospitals (C1–C4). Scope badge: "GLOBAL". Hospital column shown.</t>
  </si>
  <si>
    <t xml:space="preserve">Use a GLOBAL admin account if seeded, otherwise promote admin_grp01 temporarily</t>
  </si>
  <si>
    <t xml:space="preserve">AA-04</t>
  </si>
  <si>
    <t xml:space="preserve">Date picker — past date</t>
  </si>
  <si>
    <t xml:space="preserve">Admin can view appointments for any historical date</t>
  </si>
  <si>
    <t xml:space="preserve">1. Login as admin_h01
2. Go to /hospital-admin/appointments
3. Change date to 2026-06-20
4. Click Go</t>
  </si>
  <si>
    <t xml:space="preserve">Page reloads with URL ?date=2026-06-20. Shows historical appointments for that date. "Back to today" link visible.</t>
  </si>
  <si>
    <t xml:space="preserve">AA-05</t>
  </si>
  <si>
    <t xml:space="preserve">No appointments — empty state</t>
  </si>
  <si>
    <t xml:space="preserve">Empty state shown gracefully when no appointments on selected date</t>
  </si>
  <si>
    <t xml:space="preserve">1. Pick a date known to have no appointments (e.g. a future Sunday)
2. Click Go</t>
  </si>
  <si>
    <t xml:space="preserve">"No appointments found for [date]" empty state shown.</t>
  </si>
  <si>
    <t xml:space="preserve">AA-06</t>
  </si>
  <si>
    <t xml:space="preserve">Status count pills</t>
  </si>
  <si>
    <t xml:space="preserve">Status summary pills show correct counts</t>
  </si>
  <si>
    <t xml:space="preserve">1. Go to today's view with appointments
2. Observe status pills above list</t>
  </si>
  <si>
    <t xml:space="preserve">Coloured pills (BOOKED, ARRIVED, COMPLETED etc.) each show correct count matching list below.</t>
  </si>
  <si>
    <t xml:space="preserve">AA-07</t>
  </si>
  <si>
    <t xml:space="preserve">Walk-in badge visible</t>
  </si>
  <si>
    <t xml:space="preserve">Walk-in appointments show amber "Walk-in" badge</t>
  </si>
  <si>
    <t xml:space="preserve">1. Book a walk-in via RB-07
2. View in admin appointments</t>
  </si>
  <si>
    <t xml:space="preserve">"Walk-in" badge visible in amber on that appointment row.</t>
  </si>
  <si>
    <t xml:space="preserve">AA-08</t>
  </si>
  <si>
    <t xml:space="preserve">Receptionist-booked tag</t>
  </si>
  <si>
    <t xml:space="preserve">Appointments booked by receptionist show "REC" tag</t>
  </si>
  <si>
    <t xml:space="preserve">1. Book appointment via /receptionist/book (RB-07)
2. View in admin appointments</t>
  </si>
  <si>
    <t xml:space="preserve">"REC" tag visible in grey on that appointment row (booked_by_role=RECEPTIONIST).</t>
  </si>
  <si>
    <t xml:space="preserve">AA-09</t>
  </si>
  <si>
    <t xml:space="preserve">Doctor cannot access admin view</t>
  </si>
  <si>
    <t xml:space="preserve">Doctor-role user is blocked from /hospital-admin/appointments</t>
  </si>
  <si>
    <t xml:space="preserve">1. Login as doctor_h01
2. Navigate to /hospital-admin/appointments</t>
  </si>
  <si>
    <t xml:space="preserve">Redirected to /auth/login (no hospital_admin record for this user).</t>
  </si>
  <si>
    <t xml:space="preserve">AA-10</t>
  </si>
  <si>
    <t xml:space="preserve">Admin dashboard link updated</t>
  </si>
  <si>
    <t xml:space="preserve">"Today's appointments" on admin dashboard now goes to admin-scoped view</t>
  </si>
  <si>
    <t xml:space="preserve">1. Login as admin_h01
2. On dashboard, click "📅 Today's appointments" quick link</t>
  </si>
  <si>
    <t xml:space="preserve">Navigates to /hospital-admin/appointments (not /appointments/today). Shows hospital-scoped list.</t>
  </si>
  <si>
    <t xml:space="preserve">Platform</t>
  </si>
  <si>
    <t xml:space="preserve">OTP-01</t>
  </si>
  <si>
    <t xml:space="preserve">Patient Login — Phone Entry Screen</t>
  </si>
  <si>
    <t xml:space="preserve">Default login screen shows phone+OTP mode (not email)</t>
  </si>
  <si>
    <t xml:space="preserve">Mobile</t>
  </si>
  <si>
    <t xml:space="preserve">1. Open Expo app
2. Observe login screen</t>
  </si>
  <si>
    <t xml:space="preserve">Phone number field + "Get OTP on WhatsApp" button shown by default. Language picker visible.</t>
  </si>
  <si>
    <t xml:space="preserve">Staff mode visible as link at bottom: "Staff login (email &amp; password)"</t>
  </si>
  <si>
    <t xml:space="preserve">OTP-02</t>
  </si>
  <si>
    <t xml:space="preserve">Language Picker — Changes OTP Button Label</t>
  </si>
  <si>
    <t xml:space="preserve">Selecting Tamil changes button text to Tamil script</t>
  </si>
  <si>
    <t xml:space="preserve">1. On login screen, change language to Tamil (தமிழ்)
2. Observe button text</t>
  </si>
  <si>
    <t xml:space="preserve">"WhatsApp-ல் OTP பெறுக" shown in Tamil. All labels change to Tamil.</t>
  </si>
  <si>
    <t xml:space="preserve">OTP-03</t>
  </si>
  <si>
    <t xml:space="preserve">Send OTP — Valid 10-digit Mobile</t>
  </si>
  <si>
    <t xml:space="preserve">Patient enters valid 10-digit number and requests OTP</t>
  </si>
  <si>
    <t xml:space="preserve">1. Enter: 9876543210
2. Tap "Get OTP on WhatsApp"
3. Observe</t>
  </si>
  <si>
    <t xml:space="preserve">Loading spinner → OTP sent banner: "✅ OTP sent to +91 9876543210 via WhatsApp". OTP input appears. 60-second resend timer starts.</t>
  </si>
  <si>
    <t xml:space="preserve">Requires MSG91 + Supabase Phone Auth enabled. See migration checklist.</t>
  </si>
  <si>
    <t xml:space="preserve">OTP-04</t>
  </si>
  <si>
    <t xml:space="preserve">Send OTP — Invalid Number (&lt; 10 digits)</t>
  </si>
  <si>
    <t xml:space="preserve">Short number is rejected before API call</t>
  </si>
  <si>
    <t xml:space="preserve">1. Enter: 98765
2. Tap "Get OTP on WhatsApp"</t>
  </si>
  <si>
    <t xml:space="preserve">Error: "Please enter a valid 10-digit mobile number." No API call made.</t>
  </si>
  <si>
    <t xml:space="preserve">OTP-05</t>
  </si>
  <si>
    <t xml:space="preserve">Verify OTP — Correct Code</t>
  </si>
  <si>
    <t xml:space="preserve">Patient enters correct 6-digit OTP and logs in</t>
  </si>
  <si>
    <t xml:space="preserve">1. Complete OTP-03
2. Enter correct 6-digit OTP from WhatsApp
3. Tap "Verify &amp; Login"</t>
  </si>
  <si>
    <t xml:space="preserve">Session created. Routed to /(tabs)/ home screen. AsyncStorage lang key set.</t>
  </si>
  <si>
    <t xml:space="preserve">OTP-06</t>
  </si>
  <si>
    <t xml:space="preserve">Verify OTP — Wrong Code</t>
  </si>
  <si>
    <t xml:space="preserve">Incorrect OTP shows friendly error</t>
  </si>
  <si>
    <t xml:space="preserve">1. Complete OTP-03
2. Enter wrong 6-digit OTP (e.g. 000000)
3. Tap "Verify &amp; Login"</t>
  </si>
  <si>
    <t xml:space="preserve">Error: "OTP expired or incorrect. Request a new one." Stays on OTP screen.</t>
  </si>
  <si>
    <t xml:space="preserve">OTP-07</t>
  </si>
  <si>
    <t xml:space="preserve">Resend OTP — After Timer Expires</t>
  </si>
  <si>
    <t xml:space="preserve">Resend button activates after 60 seconds</t>
  </si>
  <si>
    <t xml:space="preserve">1. Complete OTP-03
2. Wait 60 seconds
3. Tap "Resend OTP"</t>
  </si>
  <si>
    <t xml:space="preserve">New OTP sent. Timer resets to 60. Previous OTP field cleared.</t>
  </si>
  <si>
    <t xml:space="preserve">OTP-08</t>
  </si>
  <si>
    <t xml:space="preserve">Change Number — Before OTP Entry</t>
  </si>
  <si>
    <t xml:space="preserve">Patient can go back and change their phone number</t>
  </si>
  <si>
    <t xml:space="preserve">1. Complete OTP-03
2. Tap "Change number"</t>
  </si>
  <si>
    <t xml:space="preserve">Returns to phone entry screen. Phone field cleared. OTP banner gone.</t>
  </si>
  <si>
    <t xml:space="preserve">OTP-09</t>
  </si>
  <si>
    <t xml:space="preserve">Staff Login Toggle — Doctor</t>
  </si>
  <si>
    <t xml:space="preserve">Staff toggle shows email+password form for doctor</t>
  </si>
  <si>
    <t xml:space="preserve">1. On login screen, tap "Staff login (email &amp; password)"
2. Enter doctor credentials
3. Login</t>
  </si>
  <si>
    <t xml:space="preserve">Email+password form shown. Login succeeds. Routed to /doctor-dashboard.</t>
  </si>
  <si>
    <t xml:space="preserve">Doctors/receptionists/admins use email+password — unchanged from before.</t>
  </si>
  <si>
    <t xml:space="preserve">OTP-10</t>
  </si>
  <si>
    <t xml:space="preserve">Staff Login Toggle — Receptionist</t>
  </si>
  <si>
    <t xml:space="preserve">Receptionist uses staff mode (email+password)</t>
  </si>
  <si>
    <t xml:space="preserve">1. Tap "Staff login"
2. Enter recep_h01@gmail.com / Ayush@2026!
3. Login</t>
  </si>
  <si>
    <t xml:space="preserve">Routed to /(receptionist)/ home.</t>
  </si>
  <si>
    <t xml:space="preserve">OTP-11</t>
  </si>
  <si>
    <t xml:space="preserve">Edge Function — Per-Language OTP Message (Tamil)</t>
  </si>
  <si>
    <t xml:space="preserve">Tamil patient receives OTP in Tamil script</t>
  </si>
  <si>
    <t xml:space="preserve">Supabase Edge Function</t>
  </si>
  <si>
    <t xml:space="preserve">kavitha.subramanian@demo.ayushpathi.in</t>
  </si>
  <si>
    <t xml:space="preserve">1. Patient with ui_language=TA triggers OTP
2. Check MSG91 delivery log</t>
  </si>
  <si>
    <t xml:space="preserve">WhatsApp message in Tamil: "உங்கள் Ayushpathi சரிபார்ப்பு குறியீடு *XXXXXX*..."</t>
  </si>
  <si>
    <t xml:space="preserve">Requires patient record with ui_language=TA and mobile number linked to WA</t>
  </si>
  <si>
    <t xml:space="preserve">OTP-12</t>
  </si>
  <si>
    <t xml:space="preserve">Edge Function — Email Fallback on WA Failure</t>
  </si>
  <si>
    <t xml:space="preserve">If MSG91 WA fails, OTP sent to patient email (if on record)</t>
  </si>
  <si>
    <t xml:space="preserve">1. Temporarily set MSG91_AUTH_KEY to invalid value in secrets
2. Trigger OTP
3. Check patient email inbox</t>
  </si>
  <si>
    <t xml:space="preserve">Edge function logs WA failure. Patient receives OTP via email from noreply@rasbros.com. Auth not blocked.</t>
  </si>
  <si>
    <t xml:space="preserve">Requires RESEND_API_KEY set in Supabase secrets + patient.email populated</t>
  </si>
  <si>
    <t xml:space="preserve">OTP-13</t>
  </si>
  <si>
    <t xml:space="preserve">Edge Function — No Failure Propagation</t>
  </si>
  <si>
    <t xml:space="preserve">Auth is never blocked even if both WA and email fail</t>
  </si>
  <si>
    <t xml:space="preserve">1. Set both MSG91_AUTH_KEY=invalid and no RESEND_API_KEY
2. Trigger OTP</t>
  </si>
  <si>
    <t xml:space="preserve">Edge function logs warnings. Returns {} (success) to Supabase. signInWithOtp() returns no error. App shows OTP screen.</t>
  </si>
  <si>
    <t xml:space="preserve">OTP delivery fails silently — patient sees resend option after 60s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</si>
</sst>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B71C1C"/>
      <name val="Arial"/>
      <family val="2"/>
      <charset val="1"/>
    </font>
    <font>
      <b val="true"/>
      <sz val="10"/>
      <color rgb="FF856404"/>
      <name val="Arial"/>
      <family val="2"/>
      <charset val="1"/>
    </font>
    <font>
      <b val="true"/>
      <sz val="10"/>
      <color rgb="FF555555"/>
      <name val="Arial"/>
      <family val="2"/>
      <charset val="1"/>
    </font>
    <font>
      <b val="true"/>
      <sz val="10"/>
      <color rgb="FF0D47A1"/>
      <name val="Arial"/>
      <family val="2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030A0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b val="true"/>
      <sz val="10"/>
      <color rgb="FF1F4E79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D6A2E"/>
        <bgColor rgb="FF1F4E7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DECEA"/>
        <bgColor rgb="FFF2F2F2"/>
      </patternFill>
    </fill>
    <fill>
      <patternFill patternType="solid">
        <fgColor rgb="FF92D050"/>
        <bgColor rgb="FFBFBFBF"/>
      </patternFill>
    </fill>
    <fill>
      <patternFill patternType="solid">
        <fgColor rgb="FFFFF3CD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E3F2FD"/>
        <bgColor rgb="FFEBF3FB"/>
      </patternFill>
    </fill>
    <fill>
      <patternFill patternType="solid">
        <fgColor rgb="FFFFF2CC"/>
        <bgColor rgb="FFFFF3CD"/>
      </patternFill>
    </fill>
    <fill>
      <patternFill patternType="solid">
        <fgColor rgb="FFEBF3FB"/>
        <bgColor rgb="FFE3F2FD"/>
      </patternFill>
    </fill>
    <fill>
      <patternFill patternType="solid">
        <fgColor rgb="FF1F4E79"/>
        <bgColor rgb="FF0D47A1"/>
      </patternFill>
    </fill>
    <fill>
      <patternFill patternType="solid">
        <fgColor rgb="FFDDEBF7"/>
        <bgColor rgb="FFE3F2FD"/>
      </patternFill>
    </fill>
    <fill>
      <patternFill patternType="solid">
        <fgColor rgb="FFFFE699"/>
        <bgColor rgb="FFFFF2CC"/>
      </patternFill>
    </fill>
    <fill>
      <patternFill patternType="solid">
        <fgColor rgb="FFF2DCDB"/>
        <bgColor rgb="FFFCE4D6"/>
      </patternFill>
    </fill>
    <fill>
      <patternFill patternType="solid">
        <fgColor rgb="FFF9F9F9"/>
        <bgColor rgb="FFF5F5F5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5F5F5"/>
      </patternFill>
    </fill>
    <fill>
      <patternFill patternType="solid">
        <fgColor rgb="FFD6E4F0"/>
        <bgColor rgb="FFD9E1F2"/>
      </patternFill>
    </fill>
    <fill>
      <patternFill patternType="solid">
        <fgColor rgb="FFFCE4D6"/>
        <bgColor rgb="FFF2DCDB"/>
      </patternFill>
    </fill>
    <fill>
      <patternFill patternType="solid">
        <fgColor rgb="FFD9E1F2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1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1D6A2E"/>
      <rgbColor rgb="FF000080"/>
      <rgbColor rgb="FF856404"/>
      <rgbColor rgb="FF800080"/>
      <rgbColor rgb="FF008080"/>
      <rgbColor rgb="FFBFBFBF"/>
      <rgbColor rgb="FF808080"/>
      <rgbColor rgb="FFEBF3FB"/>
      <rgbColor rgb="FF7030A0"/>
      <rgbColor rgb="FFFFF3CD"/>
      <rgbColor rgb="FFE3F2FD"/>
      <rgbColor rgb="FF660066"/>
      <rgbColor rgb="FFF5F5F5"/>
      <rgbColor rgb="FF0066CC"/>
      <rgbColor rgb="FFCCCCCC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699"/>
      <rgbColor rgb="FFD6E4F0"/>
      <rgbColor rgb="FFFCE4D6"/>
      <rgbColor rgb="FFD9E1F2"/>
      <rgbColor rgb="FFF2DCDB"/>
      <rgbColor rgb="FF3366FF"/>
      <rgbColor rgb="FF33CCCC"/>
      <rgbColor rgb="FF92D050"/>
      <rgbColor rgb="FFFDECEA"/>
      <rgbColor rgb="FFF9F9F9"/>
      <rgbColor rgb="FFFF6600"/>
      <rgbColor rgb="FF555555"/>
      <rgbColor rgb="FFF2F2F2"/>
      <rgbColor rgb="FF0D47A1"/>
      <rgbColor rgb="FF339966"/>
      <rgbColor rgb="FF003300"/>
      <rgbColor rgb="FF333300"/>
      <rgbColor rgb="FFB71C1C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2" topLeftCell="A3" activePane="bottomLeft" state="frozen"/>
      <selection pane="topLeft" activeCell="C1" activeCellId="0" sqref="C1"/>
      <selection pane="bottomLeft" activeCell="G4" activeCellId="0" sqref="G4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2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4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36" hidden="false" customHeight="true" outlineLevel="0" collapsed="false">
      <c r="A3" s="4" t="s">
        <v>8</v>
      </c>
      <c r="B3" s="5" t="s">
        <v>9</v>
      </c>
      <c r="C3" s="6" t="s">
        <v>10</v>
      </c>
      <c r="D3" s="6" t="s">
        <v>11</v>
      </c>
      <c r="E3" s="7" t="s">
        <v>12</v>
      </c>
      <c r="F3" s="8" t="s">
        <v>13</v>
      </c>
      <c r="G3" s="5" t="s">
        <v>14</v>
      </c>
    </row>
    <row r="4" customFormat="false" ht="36" hidden="false" customHeight="true" outlineLevel="0" collapsed="false">
      <c r="A4" s="4" t="s">
        <v>15</v>
      </c>
      <c r="B4" s="5" t="s">
        <v>16</v>
      </c>
      <c r="C4" s="6" t="s">
        <v>10</v>
      </c>
      <c r="D4" s="6" t="s">
        <v>11</v>
      </c>
      <c r="E4" s="9" t="s">
        <v>17</v>
      </c>
      <c r="F4" s="9" t="s">
        <v>18</v>
      </c>
      <c r="G4" s="5" t="s">
        <v>19</v>
      </c>
    </row>
    <row r="5" customFormat="false" ht="36" hidden="false" customHeight="true" outlineLevel="0" collapsed="false">
      <c r="A5" s="4" t="s">
        <v>20</v>
      </c>
      <c r="B5" s="5" t="s">
        <v>21</v>
      </c>
      <c r="C5" s="6" t="s">
        <v>10</v>
      </c>
      <c r="D5" s="6" t="s">
        <v>22</v>
      </c>
      <c r="E5" s="7" t="s">
        <v>12</v>
      </c>
      <c r="F5" s="9" t="s">
        <v>18</v>
      </c>
      <c r="G5" s="5" t="s">
        <v>23</v>
      </c>
    </row>
    <row r="6" customFormat="false" ht="36" hidden="false" customHeight="true" outlineLevel="0" collapsed="false">
      <c r="A6" s="4" t="s">
        <v>24</v>
      </c>
      <c r="B6" s="5" t="s">
        <v>25</v>
      </c>
      <c r="C6" s="6" t="s">
        <v>10</v>
      </c>
      <c r="D6" s="6" t="s">
        <v>22</v>
      </c>
      <c r="E6" s="7" t="s">
        <v>12</v>
      </c>
      <c r="F6" s="9" t="s">
        <v>18</v>
      </c>
      <c r="G6" s="5" t="s">
        <v>26</v>
      </c>
    </row>
    <row r="7" customFormat="false" ht="36" hidden="false" customHeight="true" outlineLevel="0" collapsed="false">
      <c r="A7" s="4" t="s">
        <v>27</v>
      </c>
      <c r="B7" s="5" t="s">
        <v>28</v>
      </c>
      <c r="C7" s="6" t="s">
        <v>10</v>
      </c>
      <c r="D7" s="6" t="s">
        <v>22</v>
      </c>
      <c r="E7" s="9" t="s">
        <v>17</v>
      </c>
      <c r="F7" s="9" t="s">
        <v>18</v>
      </c>
      <c r="G7" s="5" t="s">
        <v>29</v>
      </c>
    </row>
    <row r="8" customFormat="false" ht="36" hidden="false" customHeight="true" outlineLevel="0" collapsed="false">
      <c r="A8" s="4" t="s">
        <v>30</v>
      </c>
      <c r="B8" s="5" t="s">
        <v>31</v>
      </c>
      <c r="C8" s="6" t="s">
        <v>10</v>
      </c>
      <c r="D8" s="6" t="s">
        <v>22</v>
      </c>
      <c r="E8" s="9" t="s">
        <v>17</v>
      </c>
      <c r="F8" s="9" t="s">
        <v>18</v>
      </c>
      <c r="G8" s="5" t="s">
        <v>32</v>
      </c>
    </row>
    <row r="9" customFormat="false" ht="36" hidden="false" customHeight="true" outlineLevel="0" collapsed="false">
      <c r="A9" s="4" t="s">
        <v>33</v>
      </c>
      <c r="B9" s="5" t="s">
        <v>34</v>
      </c>
      <c r="C9" s="6" t="s">
        <v>10</v>
      </c>
      <c r="D9" s="6" t="s">
        <v>22</v>
      </c>
      <c r="E9" s="7" t="s">
        <v>12</v>
      </c>
      <c r="F9" s="9" t="s">
        <v>18</v>
      </c>
      <c r="G9" s="5" t="s">
        <v>35</v>
      </c>
    </row>
    <row r="10" customFormat="false" ht="36" hidden="false" customHeight="true" outlineLevel="0" collapsed="false">
      <c r="A10" s="4" t="s">
        <v>36</v>
      </c>
      <c r="B10" s="5" t="s">
        <v>37</v>
      </c>
      <c r="C10" s="6" t="s">
        <v>10</v>
      </c>
      <c r="D10" s="6" t="s">
        <v>22</v>
      </c>
      <c r="E10" s="7" t="s">
        <v>12</v>
      </c>
      <c r="F10" s="9" t="s">
        <v>18</v>
      </c>
      <c r="G10" s="5" t="s">
        <v>38</v>
      </c>
    </row>
    <row r="11" customFormat="false" ht="36" hidden="false" customHeight="true" outlineLevel="0" collapsed="false">
      <c r="A11" s="4" t="s">
        <v>39</v>
      </c>
      <c r="B11" s="5" t="s">
        <v>40</v>
      </c>
      <c r="C11" s="6" t="s">
        <v>10</v>
      </c>
      <c r="D11" s="6" t="s">
        <v>22</v>
      </c>
      <c r="E11" s="9" t="s">
        <v>17</v>
      </c>
      <c r="F11" s="9" t="s">
        <v>18</v>
      </c>
      <c r="G11" s="5" t="s">
        <v>41</v>
      </c>
    </row>
    <row r="12" customFormat="false" ht="36" hidden="false" customHeight="true" outlineLevel="0" collapsed="false">
      <c r="A12" s="4" t="s">
        <v>42</v>
      </c>
      <c r="B12" s="5" t="s">
        <v>43</v>
      </c>
      <c r="C12" s="6" t="s">
        <v>10</v>
      </c>
      <c r="D12" s="6" t="s">
        <v>22</v>
      </c>
      <c r="E12" s="7" t="s">
        <v>12</v>
      </c>
      <c r="F12" s="9" t="s">
        <v>18</v>
      </c>
      <c r="G12" s="5" t="s">
        <v>44</v>
      </c>
    </row>
    <row r="13" customFormat="false" ht="36" hidden="false" customHeight="true" outlineLevel="0" collapsed="false">
      <c r="A13" s="4" t="s">
        <v>45</v>
      </c>
      <c r="B13" s="5" t="s">
        <v>46</v>
      </c>
      <c r="C13" s="6" t="s">
        <v>10</v>
      </c>
      <c r="D13" s="6" t="s">
        <v>22</v>
      </c>
      <c r="E13" s="9" t="s">
        <v>17</v>
      </c>
      <c r="F13" s="9" t="s">
        <v>18</v>
      </c>
      <c r="G13" s="5" t="s">
        <v>47</v>
      </c>
    </row>
    <row r="14" customFormat="false" ht="36" hidden="false" customHeight="true" outlineLevel="0" collapsed="false">
      <c r="A14" s="4" t="s">
        <v>48</v>
      </c>
      <c r="B14" s="5" t="s">
        <v>49</v>
      </c>
      <c r="C14" s="6" t="s">
        <v>10</v>
      </c>
      <c r="D14" s="6" t="s">
        <v>22</v>
      </c>
      <c r="E14" s="9" t="s">
        <v>17</v>
      </c>
      <c r="F14" s="9" t="s">
        <v>18</v>
      </c>
      <c r="G14" s="5" t="s">
        <v>50</v>
      </c>
    </row>
    <row r="15" customFormat="false" ht="36" hidden="false" customHeight="true" outlineLevel="0" collapsed="false">
      <c r="A15" s="4" t="s">
        <v>51</v>
      </c>
      <c r="B15" s="5" t="s">
        <v>52</v>
      </c>
      <c r="C15" s="6" t="s">
        <v>10</v>
      </c>
      <c r="D15" s="6" t="s">
        <v>22</v>
      </c>
      <c r="E15" s="10" t="s">
        <v>53</v>
      </c>
      <c r="F15" s="9" t="s">
        <v>18</v>
      </c>
      <c r="G15" s="5" t="s">
        <v>54</v>
      </c>
    </row>
    <row r="16" customFormat="false" ht="36" hidden="false" customHeight="true" outlineLevel="0" collapsed="false">
      <c r="A16" s="4" t="s">
        <v>55</v>
      </c>
      <c r="B16" s="5" t="s">
        <v>56</v>
      </c>
      <c r="C16" s="6" t="s">
        <v>57</v>
      </c>
      <c r="D16" s="6" t="s">
        <v>58</v>
      </c>
      <c r="E16" s="11" t="s">
        <v>59</v>
      </c>
      <c r="F16" s="12" t="s">
        <v>60</v>
      </c>
      <c r="G16" s="5" t="s">
        <v>61</v>
      </c>
    </row>
    <row r="17" customFormat="false" ht="36" hidden="false" customHeight="true" outlineLevel="0" collapsed="false">
      <c r="A17" s="4" t="s">
        <v>62</v>
      </c>
      <c r="B17" s="5" t="s">
        <v>63</v>
      </c>
      <c r="C17" s="6" t="s">
        <v>57</v>
      </c>
      <c r="D17" s="6" t="s">
        <v>58</v>
      </c>
      <c r="E17" s="11" t="s">
        <v>59</v>
      </c>
      <c r="F17" s="12" t="s">
        <v>60</v>
      </c>
      <c r="G17" s="5" t="s">
        <v>64</v>
      </c>
    </row>
    <row r="18" customFormat="false" ht="36" hidden="false" customHeight="true" outlineLevel="0" collapsed="false">
      <c r="A18" s="4" t="s">
        <v>65</v>
      </c>
      <c r="B18" s="5" t="s">
        <v>66</v>
      </c>
      <c r="C18" s="6" t="s">
        <v>57</v>
      </c>
      <c r="D18" s="6" t="s">
        <v>58</v>
      </c>
      <c r="E18" s="10" t="s">
        <v>53</v>
      </c>
      <c r="F18" s="12" t="s">
        <v>60</v>
      </c>
      <c r="G18" s="5" t="s">
        <v>67</v>
      </c>
    </row>
    <row r="19" customFormat="false" ht="36" hidden="false" customHeight="true" outlineLevel="0" collapsed="false">
      <c r="A19" s="4" t="s">
        <v>68</v>
      </c>
      <c r="B19" s="5" t="s">
        <v>69</v>
      </c>
      <c r="C19" s="6" t="s">
        <v>57</v>
      </c>
      <c r="D19" s="6" t="s">
        <v>58</v>
      </c>
      <c r="E19" s="11" t="s">
        <v>59</v>
      </c>
      <c r="F19" s="12" t="s">
        <v>60</v>
      </c>
      <c r="G19" s="5" t="s">
        <v>70</v>
      </c>
    </row>
    <row r="20" customFormat="false" ht="36" hidden="false" customHeight="true" outlineLevel="0" collapsed="false">
      <c r="A20" s="4" t="s">
        <v>71</v>
      </c>
      <c r="B20" s="5" t="s">
        <v>72</v>
      </c>
      <c r="C20" s="6" t="s">
        <v>57</v>
      </c>
      <c r="D20" s="6" t="s">
        <v>58</v>
      </c>
      <c r="E20" s="13" t="s">
        <v>59</v>
      </c>
      <c r="F20" s="12" t="s">
        <v>60</v>
      </c>
      <c r="G20" s="5" t="s">
        <v>73</v>
      </c>
    </row>
    <row r="22" customFormat="false" ht="34.5" hidden="false" customHeight="true" outlineLevel="0" collapsed="false">
      <c r="A22" s="14" t="s">
        <v>74</v>
      </c>
      <c r="B22" s="14" t="s">
        <v>75</v>
      </c>
      <c r="C22" s="14" t="s">
        <v>10</v>
      </c>
      <c r="D22" s="14" t="s">
        <v>11</v>
      </c>
      <c r="E22" s="14" t="s">
        <v>12</v>
      </c>
      <c r="F22" s="14" t="s">
        <v>59</v>
      </c>
      <c r="G22" s="14" t="s">
        <v>76</v>
      </c>
    </row>
    <row r="23" customFormat="false" ht="34.5" hidden="false" customHeight="true" outlineLevel="0" collapsed="false">
      <c r="A23" s="14" t="s">
        <v>77</v>
      </c>
      <c r="B23" s="14" t="s">
        <v>78</v>
      </c>
      <c r="C23" s="14" t="s">
        <v>10</v>
      </c>
      <c r="D23" s="14" t="s">
        <v>11</v>
      </c>
      <c r="E23" s="14" t="s">
        <v>12</v>
      </c>
      <c r="F23" s="14" t="s">
        <v>59</v>
      </c>
      <c r="G23" s="14" t="s">
        <v>79</v>
      </c>
    </row>
    <row r="24" customFormat="false" ht="34.5" hidden="false" customHeight="true" outlineLevel="0" collapsed="false">
      <c r="A24" s="15" t="s">
        <v>80</v>
      </c>
      <c r="B24" s="15" t="s">
        <v>81</v>
      </c>
      <c r="C24" s="15" t="s">
        <v>10</v>
      </c>
      <c r="D24" s="15" t="s">
        <v>22</v>
      </c>
      <c r="E24" s="15" t="s">
        <v>12</v>
      </c>
      <c r="F24" s="15" t="s">
        <v>18</v>
      </c>
      <c r="G24" s="15" t="s">
        <v>82</v>
      </c>
    </row>
    <row r="25" customFormat="false" ht="45.75" hidden="false" customHeight="true" outlineLevel="0" collapsed="false">
      <c r="A25" s="15" t="s">
        <v>83</v>
      </c>
      <c r="B25" s="15" t="s">
        <v>16</v>
      </c>
      <c r="C25" s="15" t="s">
        <v>10</v>
      </c>
      <c r="D25" s="15" t="s">
        <v>11</v>
      </c>
      <c r="E25" s="15" t="s">
        <v>17</v>
      </c>
      <c r="F25" s="15" t="s">
        <v>18</v>
      </c>
      <c r="G25" s="15" t="s">
        <v>84</v>
      </c>
    </row>
    <row r="26" customFormat="false" ht="32.25" hidden="false" customHeight="true" outlineLevel="0" collapsed="false">
      <c r="A26" s="16" t="s">
        <v>85</v>
      </c>
      <c r="B26" s="16" t="s">
        <v>86</v>
      </c>
      <c r="C26" s="16" t="s">
        <v>10</v>
      </c>
      <c r="D26" s="16" t="s">
        <v>87</v>
      </c>
      <c r="E26" s="16" t="s">
        <v>12</v>
      </c>
      <c r="F26" s="16" t="s">
        <v>18</v>
      </c>
      <c r="G26" s="16" t="s">
        <v>88</v>
      </c>
    </row>
    <row r="27" customFormat="false" ht="21.75" hidden="false" customHeight="true" outlineLevel="0" collapsed="false">
      <c r="A27" s="17" t="s">
        <v>89</v>
      </c>
      <c r="B27" s="17" t="s">
        <v>90</v>
      </c>
      <c r="C27" s="17" t="s">
        <v>10</v>
      </c>
      <c r="D27" s="17" t="s">
        <v>87</v>
      </c>
      <c r="E27" s="17" t="s">
        <v>12</v>
      </c>
      <c r="F27" s="17" t="s">
        <v>18</v>
      </c>
      <c r="G27" s="17" t="s">
        <v>91</v>
      </c>
    </row>
    <row r="28" customFormat="false" ht="21.75" hidden="false" customHeight="true" outlineLevel="0" collapsed="false">
      <c r="A28" s="16" t="s">
        <v>92</v>
      </c>
      <c r="B28" s="16" t="s">
        <v>93</v>
      </c>
      <c r="C28" s="16" t="s">
        <v>10</v>
      </c>
      <c r="D28" s="16" t="s">
        <v>87</v>
      </c>
      <c r="E28" s="16" t="s">
        <v>17</v>
      </c>
      <c r="F28" s="16" t="s">
        <v>18</v>
      </c>
      <c r="G28" s="16" t="s">
        <v>94</v>
      </c>
    </row>
    <row r="29" customFormat="false" ht="21.75" hidden="false" customHeight="true" outlineLevel="0" collapsed="false">
      <c r="A29" s="17" t="s">
        <v>95</v>
      </c>
      <c r="B29" s="17" t="s">
        <v>96</v>
      </c>
      <c r="C29" s="17" t="s">
        <v>10</v>
      </c>
      <c r="D29" s="17" t="s">
        <v>22</v>
      </c>
      <c r="E29" s="17" t="s">
        <v>12</v>
      </c>
      <c r="F29" s="17" t="s">
        <v>18</v>
      </c>
      <c r="G29" s="17" t="s">
        <v>97</v>
      </c>
    </row>
    <row r="30" customFormat="false" ht="21.75" hidden="false" customHeight="true" outlineLevel="0" collapsed="false">
      <c r="A30" s="16" t="s">
        <v>98</v>
      </c>
      <c r="B30" s="16" t="s">
        <v>99</v>
      </c>
      <c r="C30" s="16" t="s">
        <v>10</v>
      </c>
      <c r="D30" s="16" t="s">
        <v>22</v>
      </c>
      <c r="E30" s="16" t="s">
        <v>12</v>
      </c>
      <c r="F30" s="16" t="s">
        <v>18</v>
      </c>
      <c r="G30" s="16" t="s">
        <v>100</v>
      </c>
    </row>
    <row r="31" customFormat="false" ht="22.35" hidden="false" customHeight="false" outlineLevel="0" collapsed="false">
      <c r="A31" s="17" t="s">
        <v>101</v>
      </c>
      <c r="B31" s="17" t="s">
        <v>102</v>
      </c>
      <c r="C31" s="17" t="s">
        <v>10</v>
      </c>
      <c r="D31" s="17" t="s">
        <v>103</v>
      </c>
      <c r="E31" s="17" t="s">
        <v>104</v>
      </c>
      <c r="F31" s="17" t="s">
        <v>18</v>
      </c>
      <c r="G31" s="17" t="s">
        <v>105</v>
      </c>
    </row>
    <row r="32" customFormat="false" ht="32.8" hidden="false" customHeight="false" outlineLevel="0" collapsed="false">
      <c r="A32" s="16" t="s">
        <v>106</v>
      </c>
      <c r="B32" s="16" t="s">
        <v>107</v>
      </c>
      <c r="C32" s="16" t="s">
        <v>10</v>
      </c>
      <c r="D32" s="16" t="s">
        <v>108</v>
      </c>
      <c r="E32" s="16" t="s">
        <v>104</v>
      </c>
      <c r="F32" s="16" t="s">
        <v>18</v>
      </c>
      <c r="G32" s="16" t="s">
        <v>109</v>
      </c>
    </row>
    <row r="33" customFormat="false" ht="22.35" hidden="false" customHeight="false" outlineLevel="0" collapsed="false">
      <c r="A33" s="17" t="s">
        <v>110</v>
      </c>
      <c r="B33" s="17" t="s">
        <v>111</v>
      </c>
      <c r="C33" s="17" t="s">
        <v>10</v>
      </c>
      <c r="D33" s="17" t="s">
        <v>112</v>
      </c>
      <c r="E33" s="17" t="s">
        <v>104</v>
      </c>
      <c r="F33" s="17" t="s">
        <v>18</v>
      </c>
      <c r="G33" s="17" t="s">
        <v>113</v>
      </c>
    </row>
    <row r="34" customFormat="false" ht="32.8" hidden="false" customHeight="false" outlineLevel="0" collapsed="false">
      <c r="A34" s="16" t="s">
        <v>114</v>
      </c>
      <c r="B34" s="16" t="s">
        <v>115</v>
      </c>
      <c r="C34" s="16" t="s">
        <v>10</v>
      </c>
      <c r="D34" s="16" t="s">
        <v>112</v>
      </c>
      <c r="E34" s="16" t="s">
        <v>104</v>
      </c>
      <c r="F34" s="16" t="s">
        <v>18</v>
      </c>
      <c r="G34" s="16" t="s">
        <v>116</v>
      </c>
    </row>
    <row r="35" customFormat="false" ht="15" hidden="false" customHeight="false" outlineLevel="0" collapsed="false">
      <c r="A35" s="17" t="s">
        <v>117</v>
      </c>
      <c r="B35" s="17" t="s">
        <v>118</v>
      </c>
      <c r="C35" s="17" t="s">
        <v>10</v>
      </c>
      <c r="D35" s="17" t="s">
        <v>119</v>
      </c>
      <c r="E35" s="17" t="s">
        <v>12</v>
      </c>
      <c r="F35" s="17" t="s">
        <v>18</v>
      </c>
      <c r="G35" s="17" t="s">
        <v>120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4" activeCellId="0" sqref="G4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6" min="5" style="1" width="20"/>
    <col collapsed="false" customWidth="true" hidden="false" outlineLevel="0" max="7" min="7" style="1" width="32"/>
    <col collapsed="false" customWidth="true" hidden="false" outlineLevel="0" max="8" min="8" style="1" width="55"/>
    <col collapsed="false" customWidth="true" hidden="false" outlineLevel="0" max="9" min="9" style="1" width="45"/>
  </cols>
  <sheetData>
    <row r="1" customFormat="false" ht="19.5" hidden="false" customHeight="true" outlineLevel="0" collapsed="false">
      <c r="A1" s="18" t="s">
        <v>121</v>
      </c>
      <c r="B1" s="18" t="s">
        <v>122</v>
      </c>
      <c r="C1" s="18" t="s">
        <v>123</v>
      </c>
      <c r="D1" s="18" t="s">
        <v>124</v>
      </c>
      <c r="E1" s="18" t="s">
        <v>125</v>
      </c>
      <c r="F1" s="18" t="s">
        <v>126</v>
      </c>
      <c r="G1" s="18" t="s">
        <v>127</v>
      </c>
      <c r="H1" s="19" t="s">
        <v>7</v>
      </c>
      <c r="I1" s="19" t="s">
        <v>128</v>
      </c>
    </row>
    <row r="2" customFormat="false" ht="21.75" hidden="false" customHeight="true" outlineLevel="0" collapsed="false">
      <c r="A2" s="20" t="s">
        <v>129</v>
      </c>
      <c r="B2" s="20" t="s">
        <v>130</v>
      </c>
      <c r="C2" s="20" t="s">
        <v>131</v>
      </c>
      <c r="D2" s="20" t="s">
        <v>132</v>
      </c>
      <c r="E2" s="20" t="s">
        <v>133</v>
      </c>
      <c r="F2" s="20" t="s">
        <v>134</v>
      </c>
      <c r="G2" s="20" t="s">
        <v>135</v>
      </c>
      <c r="H2" s="21" t="s">
        <v>136</v>
      </c>
      <c r="I2" s="22" t="s">
        <v>137</v>
      </c>
    </row>
    <row r="3" customFormat="false" ht="21.75" hidden="false" customHeight="true" outlineLevel="0" collapsed="false">
      <c r="A3" s="20" t="s">
        <v>129</v>
      </c>
      <c r="B3" s="20" t="s">
        <v>138</v>
      </c>
      <c r="C3" s="20" t="s">
        <v>139</v>
      </c>
      <c r="D3" s="20" t="s">
        <v>132</v>
      </c>
      <c r="E3" s="20" t="s">
        <v>133</v>
      </c>
      <c r="F3" s="20" t="s">
        <v>134</v>
      </c>
      <c r="G3" s="20" t="s">
        <v>135</v>
      </c>
      <c r="H3" s="21" t="s">
        <v>140</v>
      </c>
      <c r="I3" s="22" t="s">
        <v>141</v>
      </c>
    </row>
    <row r="4" customFormat="false" ht="21.75" hidden="false" customHeight="true" outlineLevel="0" collapsed="false">
      <c r="A4" s="20" t="s">
        <v>129</v>
      </c>
      <c r="B4" s="20" t="s">
        <v>142</v>
      </c>
      <c r="C4" s="20" t="s">
        <v>143</v>
      </c>
      <c r="D4" s="20" t="s">
        <v>132</v>
      </c>
      <c r="E4" s="20" t="s">
        <v>133</v>
      </c>
      <c r="F4" s="20" t="s">
        <v>134</v>
      </c>
      <c r="G4" s="20" t="s">
        <v>135</v>
      </c>
      <c r="H4" s="21" t="s">
        <v>144</v>
      </c>
      <c r="I4" s="22" t="s">
        <v>145</v>
      </c>
    </row>
    <row r="5" customFormat="false" ht="21.75" hidden="false" customHeight="true" outlineLevel="0" collapsed="false">
      <c r="A5" s="23" t="s">
        <v>146</v>
      </c>
      <c r="B5" s="23" t="s">
        <v>147</v>
      </c>
      <c r="C5" s="23" t="s">
        <v>148</v>
      </c>
      <c r="D5" s="23" t="s">
        <v>132</v>
      </c>
      <c r="E5" s="23" t="s">
        <v>149</v>
      </c>
      <c r="F5" s="23" t="s">
        <v>150</v>
      </c>
      <c r="G5" s="23" t="s">
        <v>151</v>
      </c>
      <c r="H5" s="14" t="s">
        <v>152</v>
      </c>
      <c r="I5" s="22" t="s">
        <v>153</v>
      </c>
    </row>
    <row r="6" customFormat="false" ht="21.75" hidden="false" customHeight="true" outlineLevel="0" collapsed="false">
      <c r="A6" s="23" t="s">
        <v>154</v>
      </c>
      <c r="B6" s="23" t="s">
        <v>155</v>
      </c>
      <c r="C6" s="23" t="s">
        <v>156</v>
      </c>
      <c r="D6" s="23" t="s">
        <v>132</v>
      </c>
      <c r="E6" s="23" t="s">
        <v>149</v>
      </c>
      <c r="F6" s="23" t="s">
        <v>150</v>
      </c>
      <c r="G6" s="23" t="s">
        <v>151</v>
      </c>
      <c r="H6" s="14" t="s">
        <v>157</v>
      </c>
      <c r="I6" s="22" t="s">
        <v>153</v>
      </c>
    </row>
    <row r="7" customFormat="false" ht="21.75" hidden="false" customHeight="true" outlineLevel="0" collapsed="false">
      <c r="A7" s="23" t="s">
        <v>158</v>
      </c>
      <c r="B7" s="23" t="s">
        <v>159</v>
      </c>
      <c r="C7" s="23" t="s">
        <v>160</v>
      </c>
      <c r="D7" s="23" t="s">
        <v>132</v>
      </c>
      <c r="E7" s="23" t="s">
        <v>149</v>
      </c>
      <c r="F7" s="23" t="s">
        <v>150</v>
      </c>
      <c r="G7" s="23" t="s">
        <v>151</v>
      </c>
      <c r="H7" s="14" t="s">
        <v>161</v>
      </c>
      <c r="I7" s="22" t="s">
        <v>153</v>
      </c>
    </row>
    <row r="8" customFormat="false" ht="21.75" hidden="false" customHeight="true" outlineLevel="0" collapsed="false">
      <c r="A8" s="23" t="s">
        <v>162</v>
      </c>
      <c r="B8" s="23" t="s">
        <v>163</v>
      </c>
      <c r="C8" s="23" t="s">
        <v>164</v>
      </c>
      <c r="D8" s="23" t="s">
        <v>132</v>
      </c>
      <c r="E8" s="23" t="s">
        <v>149</v>
      </c>
      <c r="F8" s="23" t="s">
        <v>150</v>
      </c>
      <c r="G8" s="23" t="s">
        <v>151</v>
      </c>
      <c r="H8" s="14" t="s">
        <v>165</v>
      </c>
      <c r="I8" s="22" t="s">
        <v>153</v>
      </c>
    </row>
    <row r="9" customFormat="false" ht="21.75" hidden="false" customHeight="true" outlineLevel="0" collapsed="false">
      <c r="A9" s="23" t="s">
        <v>166</v>
      </c>
      <c r="B9" s="23" t="s">
        <v>167</v>
      </c>
      <c r="C9" s="23" t="s">
        <v>168</v>
      </c>
      <c r="D9" s="23" t="s">
        <v>132</v>
      </c>
      <c r="E9" s="23" t="s">
        <v>149</v>
      </c>
      <c r="F9" s="23" t="s">
        <v>150</v>
      </c>
      <c r="G9" s="23" t="s">
        <v>169</v>
      </c>
      <c r="H9" s="14" t="s">
        <v>170</v>
      </c>
      <c r="I9" s="22" t="s">
        <v>153</v>
      </c>
    </row>
    <row r="10" customFormat="false" ht="21.75" hidden="false" customHeight="true" outlineLevel="0" collapsed="false">
      <c r="A10" s="23" t="s">
        <v>146</v>
      </c>
      <c r="B10" s="23" t="s">
        <v>171</v>
      </c>
      <c r="C10" s="23" t="s">
        <v>172</v>
      </c>
      <c r="D10" s="23" t="s">
        <v>132</v>
      </c>
      <c r="E10" s="23" t="s">
        <v>149</v>
      </c>
      <c r="F10" s="23" t="s">
        <v>150</v>
      </c>
      <c r="G10" s="23" t="s">
        <v>169</v>
      </c>
      <c r="H10" s="14" t="s">
        <v>173</v>
      </c>
      <c r="I10" s="22" t="s">
        <v>153</v>
      </c>
    </row>
    <row r="11" customFormat="false" ht="21.75" hidden="false" customHeight="true" outlineLevel="0" collapsed="false">
      <c r="A11" s="24" t="s">
        <v>174</v>
      </c>
      <c r="B11" s="24" t="s">
        <v>175</v>
      </c>
      <c r="C11" s="24" t="s">
        <v>176</v>
      </c>
      <c r="D11" s="24" t="s">
        <v>132</v>
      </c>
      <c r="E11" s="24" t="s">
        <v>177</v>
      </c>
      <c r="F11" s="24" t="s">
        <v>178</v>
      </c>
      <c r="G11" s="24" t="s">
        <v>169</v>
      </c>
      <c r="H11" s="15" t="s">
        <v>179</v>
      </c>
      <c r="I11" s="22" t="s">
        <v>153</v>
      </c>
    </row>
    <row r="12" customFormat="false" ht="21.75" hidden="false" customHeight="true" outlineLevel="0" collapsed="false">
      <c r="A12" s="24" t="s">
        <v>174</v>
      </c>
      <c r="B12" s="24" t="s">
        <v>180</v>
      </c>
      <c r="C12" s="24" t="s">
        <v>181</v>
      </c>
      <c r="D12" s="24" t="s">
        <v>132</v>
      </c>
      <c r="E12" s="24" t="s">
        <v>177</v>
      </c>
      <c r="F12" s="24" t="s">
        <v>178</v>
      </c>
      <c r="G12" s="24" t="s">
        <v>169</v>
      </c>
      <c r="H12" s="15" t="s">
        <v>182</v>
      </c>
      <c r="I12" s="22" t="s">
        <v>153</v>
      </c>
    </row>
    <row r="13" customFormat="false" ht="21.75" hidden="false" customHeight="true" outlineLevel="0" collapsed="false">
      <c r="A13" s="25" t="s">
        <v>183</v>
      </c>
      <c r="B13" s="25" t="s">
        <v>184</v>
      </c>
      <c r="C13" s="25" t="s">
        <v>185</v>
      </c>
      <c r="D13" s="25" t="s">
        <v>132</v>
      </c>
      <c r="E13" s="25" t="s">
        <v>186</v>
      </c>
      <c r="F13" s="25" t="s">
        <v>178</v>
      </c>
      <c r="G13" s="25" t="s">
        <v>169</v>
      </c>
      <c r="H13" s="26" t="s">
        <v>187</v>
      </c>
      <c r="I13" s="22" t="s">
        <v>153</v>
      </c>
    </row>
    <row r="14" customFormat="false" ht="21.75" hidden="false" customHeight="true" outlineLevel="0" collapsed="false">
      <c r="A14" s="25" t="s">
        <v>183</v>
      </c>
      <c r="B14" s="25" t="s">
        <v>188</v>
      </c>
      <c r="C14" s="25" t="s">
        <v>189</v>
      </c>
      <c r="D14" s="25" t="s">
        <v>132</v>
      </c>
      <c r="E14" s="25" t="s">
        <v>186</v>
      </c>
      <c r="F14" s="25" t="s">
        <v>178</v>
      </c>
      <c r="G14" s="25" t="s">
        <v>169</v>
      </c>
      <c r="H14" s="26" t="s">
        <v>190</v>
      </c>
      <c r="I14" s="22" t="s">
        <v>153</v>
      </c>
    </row>
    <row r="15" customFormat="false" ht="21.75" hidden="false" customHeight="true" outlineLevel="0" collapsed="false">
      <c r="A15" s="27" t="s">
        <v>191</v>
      </c>
      <c r="B15" s="27" t="s">
        <v>192</v>
      </c>
      <c r="C15" s="27" t="s">
        <v>193</v>
      </c>
      <c r="D15" s="27" t="s">
        <v>132</v>
      </c>
      <c r="E15" s="27" t="s">
        <v>194</v>
      </c>
      <c r="F15" s="27" t="s">
        <v>195</v>
      </c>
      <c r="G15" s="27" t="s">
        <v>151</v>
      </c>
      <c r="H15" s="28" t="s">
        <v>196</v>
      </c>
      <c r="I15" s="22" t="s">
        <v>153</v>
      </c>
    </row>
    <row r="16" customFormat="false" ht="21.75" hidden="false" customHeight="true" outlineLevel="0" collapsed="false">
      <c r="A16" s="27" t="s">
        <v>191</v>
      </c>
      <c r="B16" s="27" t="s">
        <v>197</v>
      </c>
      <c r="C16" s="27" t="s">
        <v>198</v>
      </c>
      <c r="D16" s="27" t="s">
        <v>132</v>
      </c>
      <c r="E16" s="27" t="s">
        <v>194</v>
      </c>
      <c r="F16" s="27" t="s">
        <v>195</v>
      </c>
      <c r="G16" s="27" t="s">
        <v>151</v>
      </c>
      <c r="H16" s="28" t="s">
        <v>199</v>
      </c>
      <c r="I16" s="22" t="s">
        <v>153</v>
      </c>
    </row>
    <row r="17" customFormat="false" ht="21.75" hidden="false" customHeight="true" outlineLevel="0" collapsed="false">
      <c r="A17" s="27" t="s">
        <v>191</v>
      </c>
      <c r="B17" s="27" t="s">
        <v>200</v>
      </c>
      <c r="C17" s="27" t="s">
        <v>201</v>
      </c>
      <c r="D17" s="27" t="s">
        <v>132</v>
      </c>
      <c r="E17" s="27" t="s">
        <v>194</v>
      </c>
      <c r="F17" s="27" t="s">
        <v>195</v>
      </c>
      <c r="G17" s="27" t="s">
        <v>151</v>
      </c>
      <c r="H17" s="28" t="s">
        <v>202</v>
      </c>
      <c r="I17" s="22" t="s">
        <v>153</v>
      </c>
    </row>
    <row r="18" customFormat="false" ht="21.75" hidden="false" customHeight="true" outlineLevel="0" collapsed="false">
      <c r="A18" s="27" t="s">
        <v>191</v>
      </c>
      <c r="B18" s="27" t="s">
        <v>203</v>
      </c>
      <c r="C18" s="27" t="s">
        <v>204</v>
      </c>
      <c r="D18" s="27" t="s">
        <v>132</v>
      </c>
      <c r="E18" s="27" t="s">
        <v>194</v>
      </c>
      <c r="F18" s="27" t="s">
        <v>195</v>
      </c>
      <c r="G18" s="27" t="s">
        <v>151</v>
      </c>
      <c r="H18" s="28" t="s">
        <v>205</v>
      </c>
      <c r="I18" s="22" t="s">
        <v>153</v>
      </c>
    </row>
    <row r="19" customFormat="false" ht="15" hidden="false" customHeight="true" outlineLevel="0" collapsed="false">
      <c r="I19" s="22" t="s">
        <v>153</v>
      </c>
    </row>
    <row r="20" customFormat="false" ht="15" hidden="false" customHeight="true" outlineLevel="0" collapsed="false">
      <c r="A20" s="29" t="s">
        <v>206</v>
      </c>
      <c r="B20" s="29"/>
      <c r="C20" s="29"/>
      <c r="D20" s="29"/>
      <c r="E20" s="29"/>
      <c r="F20" s="29"/>
      <c r="G20" s="29"/>
      <c r="H20" s="29"/>
      <c r="I20" s="22" t="s">
        <v>153</v>
      </c>
    </row>
  </sheetData>
  <mergeCells count="1"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9"/>
    <col collapsed="false" customWidth="true" hidden="false" outlineLevel="0" max="4" min="4" style="1" width="45"/>
    <col collapsed="false" customWidth="true" hidden="false" outlineLevel="0" max="5" min="5" style="1" width="12"/>
    <col collapsed="false" customWidth="true" hidden="false" outlineLevel="0" max="6" min="6" style="1" width="26"/>
    <col collapsed="false" customWidth="true" hidden="false" outlineLevel="0" max="8" min="7" style="1" width="38"/>
    <col collapsed="false" customWidth="true" hidden="false" outlineLevel="0" max="9" min="9" style="1" width="10"/>
    <col collapsed="false" customWidth="true" hidden="false" outlineLevel="0" max="11" min="10" style="1" width="14"/>
    <col collapsed="false" customWidth="true" hidden="false" outlineLevel="0" max="12" min="12" style="1" width="28"/>
  </cols>
  <sheetData>
    <row r="1" customFormat="false" ht="21.75" hidden="false" customHeight="true" outlineLevel="0" collapsed="false">
      <c r="A1" s="30" t="s">
        <v>207</v>
      </c>
      <c r="B1" s="30" t="s">
        <v>208</v>
      </c>
      <c r="C1" s="30" t="s">
        <v>209</v>
      </c>
      <c r="D1" s="30" t="s">
        <v>210</v>
      </c>
      <c r="E1" s="30" t="s">
        <v>211</v>
      </c>
      <c r="F1" s="30" t="s">
        <v>212</v>
      </c>
      <c r="G1" s="30" t="s">
        <v>213</v>
      </c>
      <c r="H1" s="30" t="s">
        <v>214</v>
      </c>
      <c r="I1" s="30" t="s">
        <v>215</v>
      </c>
      <c r="J1" s="30" t="s">
        <v>216</v>
      </c>
      <c r="K1" s="30" t="s">
        <v>217</v>
      </c>
      <c r="L1" s="30" t="s">
        <v>7</v>
      </c>
    </row>
    <row r="2" customFormat="false" ht="64.5" hidden="false" customHeight="true" outlineLevel="0" collapsed="false">
      <c r="A2" s="31" t="s">
        <v>218</v>
      </c>
      <c r="B2" s="31" t="s">
        <v>219</v>
      </c>
      <c r="C2" s="31" t="s">
        <v>220</v>
      </c>
      <c r="D2" s="31" t="s">
        <v>221</v>
      </c>
      <c r="E2" s="31" t="s">
        <v>222</v>
      </c>
      <c r="F2" s="31" t="s">
        <v>131</v>
      </c>
      <c r="G2" s="31" t="s">
        <v>223</v>
      </c>
      <c r="H2" s="31" t="s">
        <v>224</v>
      </c>
      <c r="I2" s="32" t="s">
        <v>225</v>
      </c>
      <c r="J2" s="32" t="s">
        <v>226</v>
      </c>
      <c r="K2" s="31" t="s">
        <v>227</v>
      </c>
      <c r="L2" s="31" t="s">
        <v>228</v>
      </c>
    </row>
    <row r="3" customFormat="false" ht="64.5" hidden="false" customHeight="true" outlineLevel="0" collapsed="false">
      <c r="A3" s="33" t="s">
        <v>229</v>
      </c>
      <c r="B3" s="33" t="s">
        <v>219</v>
      </c>
      <c r="C3" s="33" t="s">
        <v>220</v>
      </c>
      <c r="D3" s="33" t="s">
        <v>230</v>
      </c>
      <c r="E3" s="33" t="s">
        <v>222</v>
      </c>
      <c r="F3" s="33" t="s">
        <v>139</v>
      </c>
      <c r="G3" s="33" t="s">
        <v>231</v>
      </c>
      <c r="H3" s="33" t="s">
        <v>232</v>
      </c>
      <c r="I3" s="34" t="s">
        <v>233</v>
      </c>
      <c r="J3" s="35" t="s">
        <v>234</v>
      </c>
      <c r="K3" s="33" t="s">
        <v>227</v>
      </c>
      <c r="L3" s="33"/>
    </row>
    <row r="4" customFormat="false" ht="64.5" hidden="false" customHeight="true" outlineLevel="0" collapsed="false">
      <c r="A4" s="31" t="s">
        <v>235</v>
      </c>
      <c r="B4" s="31" t="s">
        <v>236</v>
      </c>
      <c r="C4" s="31" t="s">
        <v>237</v>
      </c>
      <c r="D4" s="31" t="s">
        <v>238</v>
      </c>
      <c r="E4" s="31" t="s">
        <v>222</v>
      </c>
      <c r="F4" s="31" t="s">
        <v>131</v>
      </c>
      <c r="G4" s="31" t="s">
        <v>239</v>
      </c>
      <c r="H4" s="31" t="s">
        <v>240</v>
      </c>
      <c r="I4" s="32" t="s">
        <v>225</v>
      </c>
      <c r="J4" s="32" t="s">
        <v>226</v>
      </c>
      <c r="K4" s="31" t="s">
        <v>227</v>
      </c>
      <c r="L4" s="31"/>
    </row>
    <row r="5" customFormat="false" ht="64.5" hidden="false" customHeight="true" outlineLevel="0" collapsed="false">
      <c r="A5" s="33" t="s">
        <v>241</v>
      </c>
      <c r="B5" s="33" t="s">
        <v>236</v>
      </c>
      <c r="C5" s="33" t="s">
        <v>237</v>
      </c>
      <c r="D5" s="33" t="s">
        <v>242</v>
      </c>
      <c r="E5" s="33" t="s">
        <v>222</v>
      </c>
      <c r="F5" s="33" t="s">
        <v>139</v>
      </c>
      <c r="G5" s="33" t="s">
        <v>231</v>
      </c>
      <c r="H5" s="33" t="s">
        <v>243</v>
      </c>
      <c r="I5" s="34" t="s">
        <v>233</v>
      </c>
      <c r="J5" s="35" t="s">
        <v>234</v>
      </c>
      <c r="K5" s="33" t="s">
        <v>227</v>
      </c>
      <c r="L5" s="33"/>
    </row>
    <row r="6" customFormat="false" ht="64.5" hidden="false" customHeight="true" outlineLevel="0" collapsed="false">
      <c r="A6" s="31" t="s">
        <v>244</v>
      </c>
      <c r="B6" s="31" t="s">
        <v>236</v>
      </c>
      <c r="C6" s="31" t="s">
        <v>245</v>
      </c>
      <c r="D6" s="31" t="s">
        <v>246</v>
      </c>
      <c r="E6" s="31" t="s">
        <v>222</v>
      </c>
      <c r="F6" s="31" t="s">
        <v>131</v>
      </c>
      <c r="G6" s="31" t="s">
        <v>247</v>
      </c>
      <c r="H6" s="31" t="s">
        <v>248</v>
      </c>
      <c r="I6" s="34" t="s">
        <v>233</v>
      </c>
      <c r="J6" s="35" t="s">
        <v>234</v>
      </c>
      <c r="K6" s="31" t="s">
        <v>227</v>
      </c>
      <c r="L6" s="31"/>
    </row>
    <row r="7" customFormat="false" ht="64.5" hidden="false" customHeight="true" outlineLevel="0" collapsed="false">
      <c r="A7" s="33" t="s">
        <v>249</v>
      </c>
      <c r="B7" s="33" t="s">
        <v>250</v>
      </c>
      <c r="C7" s="33" t="s">
        <v>237</v>
      </c>
      <c r="D7" s="33" t="s">
        <v>251</v>
      </c>
      <c r="E7" s="33" t="s">
        <v>222</v>
      </c>
      <c r="F7" s="33" t="s">
        <v>131</v>
      </c>
      <c r="G7" s="33" t="s">
        <v>252</v>
      </c>
      <c r="H7" s="33" t="s">
        <v>253</v>
      </c>
      <c r="I7" s="32" t="s">
        <v>225</v>
      </c>
      <c r="J7" s="32" t="s">
        <v>226</v>
      </c>
      <c r="K7" s="33" t="s">
        <v>227</v>
      </c>
      <c r="L7" s="33"/>
    </row>
    <row r="8" customFormat="false" ht="64.5" hidden="false" customHeight="true" outlineLevel="0" collapsed="false">
      <c r="A8" s="31" t="s">
        <v>254</v>
      </c>
      <c r="B8" s="31" t="s">
        <v>250</v>
      </c>
      <c r="C8" s="31" t="s">
        <v>237</v>
      </c>
      <c r="D8" s="31" t="s">
        <v>255</v>
      </c>
      <c r="E8" s="31" t="s">
        <v>222</v>
      </c>
      <c r="F8" s="31" t="s">
        <v>139</v>
      </c>
      <c r="G8" s="31" t="s">
        <v>231</v>
      </c>
      <c r="H8" s="31" t="s">
        <v>256</v>
      </c>
      <c r="I8" s="34" t="s">
        <v>233</v>
      </c>
      <c r="J8" s="35" t="s">
        <v>234</v>
      </c>
      <c r="K8" s="31" t="s">
        <v>227</v>
      </c>
      <c r="L8" s="31"/>
    </row>
    <row r="9" customFormat="false" ht="64.5" hidden="false" customHeight="true" outlineLevel="0" collapsed="false">
      <c r="A9" s="33" t="s">
        <v>257</v>
      </c>
      <c r="B9" s="33" t="s">
        <v>258</v>
      </c>
      <c r="C9" s="33" t="s">
        <v>237</v>
      </c>
      <c r="D9" s="33" t="s">
        <v>259</v>
      </c>
      <c r="E9" s="33" t="s">
        <v>222</v>
      </c>
      <c r="F9" s="33" t="s">
        <v>148</v>
      </c>
      <c r="G9" s="33" t="s">
        <v>260</v>
      </c>
      <c r="H9" s="33" t="s">
        <v>261</v>
      </c>
      <c r="I9" s="32" t="s">
        <v>225</v>
      </c>
      <c r="J9" s="32" t="s">
        <v>226</v>
      </c>
      <c r="K9" s="33" t="s">
        <v>262</v>
      </c>
      <c r="L9" s="33" t="s">
        <v>263</v>
      </c>
    </row>
    <row r="10" customFormat="false" ht="64.5" hidden="false" customHeight="true" outlineLevel="0" collapsed="false">
      <c r="A10" s="31" t="s">
        <v>264</v>
      </c>
      <c r="B10" s="31" t="s">
        <v>258</v>
      </c>
      <c r="C10" s="31" t="s">
        <v>265</v>
      </c>
      <c r="D10" s="31" t="s">
        <v>266</v>
      </c>
      <c r="E10" s="31" t="s">
        <v>222</v>
      </c>
      <c r="F10" s="31" t="s">
        <v>148</v>
      </c>
      <c r="G10" s="31" t="s">
        <v>267</v>
      </c>
      <c r="H10" s="31" t="s">
        <v>268</v>
      </c>
      <c r="I10" s="34" t="s">
        <v>233</v>
      </c>
      <c r="J10" s="35" t="s">
        <v>234</v>
      </c>
      <c r="K10" s="31" t="s">
        <v>262</v>
      </c>
      <c r="L10" s="31"/>
    </row>
    <row r="11" customFormat="false" ht="64.5" hidden="false" customHeight="true" outlineLevel="0" collapsed="false">
      <c r="A11" s="33" t="s">
        <v>269</v>
      </c>
      <c r="B11" s="33" t="s">
        <v>258</v>
      </c>
      <c r="C11" s="33" t="s">
        <v>265</v>
      </c>
      <c r="D11" s="33" t="s">
        <v>270</v>
      </c>
      <c r="E11" s="33" t="s">
        <v>222</v>
      </c>
      <c r="F11" s="33" t="s">
        <v>156</v>
      </c>
      <c r="G11" s="33" t="s">
        <v>231</v>
      </c>
      <c r="H11" s="33" t="s">
        <v>271</v>
      </c>
      <c r="I11" s="34" t="s">
        <v>233</v>
      </c>
      <c r="J11" s="35" t="s">
        <v>234</v>
      </c>
      <c r="K11" s="33" t="s">
        <v>262</v>
      </c>
      <c r="L11" s="33"/>
    </row>
    <row r="12" customFormat="false" ht="64.5" hidden="false" customHeight="true" outlineLevel="0" collapsed="false">
      <c r="A12" s="31" t="s">
        <v>272</v>
      </c>
      <c r="B12" s="31" t="s">
        <v>273</v>
      </c>
      <c r="C12" s="31" t="s">
        <v>237</v>
      </c>
      <c r="D12" s="31" t="s">
        <v>274</v>
      </c>
      <c r="E12" s="31" t="s">
        <v>222</v>
      </c>
      <c r="F12" s="31" t="s">
        <v>131</v>
      </c>
      <c r="G12" s="31" t="s">
        <v>275</v>
      </c>
      <c r="H12" s="31" t="s">
        <v>276</v>
      </c>
      <c r="I12" s="34" t="s">
        <v>233</v>
      </c>
      <c r="J12" s="35" t="s">
        <v>234</v>
      </c>
      <c r="K12" s="31" t="s">
        <v>153</v>
      </c>
      <c r="L12" s="31" t="s">
        <v>277</v>
      </c>
    </row>
    <row r="13" customFormat="false" ht="64.5" hidden="false" customHeight="true" outlineLevel="0" collapsed="false">
      <c r="A13" s="33" t="s">
        <v>278</v>
      </c>
      <c r="B13" s="33" t="s">
        <v>279</v>
      </c>
      <c r="C13" s="33" t="s">
        <v>245</v>
      </c>
      <c r="D13" s="33" t="s">
        <v>280</v>
      </c>
      <c r="E13" s="33" t="s">
        <v>222</v>
      </c>
      <c r="F13" s="33" t="s">
        <v>193</v>
      </c>
      <c r="G13" s="33" t="s">
        <v>281</v>
      </c>
      <c r="H13" s="33" t="s">
        <v>282</v>
      </c>
      <c r="I13" s="34" t="s">
        <v>233</v>
      </c>
      <c r="J13" s="35" t="s">
        <v>234</v>
      </c>
      <c r="K13" s="33" t="s">
        <v>153</v>
      </c>
      <c r="L13" s="33"/>
    </row>
    <row r="14" customFormat="false" ht="64.5" hidden="false" customHeight="true" outlineLevel="0" collapsed="false">
      <c r="A14" s="31" t="s">
        <v>283</v>
      </c>
      <c r="B14" s="31" t="s">
        <v>284</v>
      </c>
      <c r="C14" s="31" t="s">
        <v>245</v>
      </c>
      <c r="D14" s="31" t="s">
        <v>285</v>
      </c>
      <c r="E14" s="31" t="s">
        <v>222</v>
      </c>
      <c r="F14" s="31" t="s">
        <v>193</v>
      </c>
      <c r="G14" s="31" t="s">
        <v>286</v>
      </c>
      <c r="H14" s="31" t="s">
        <v>287</v>
      </c>
      <c r="I14" s="34" t="s">
        <v>233</v>
      </c>
      <c r="J14" s="35" t="s">
        <v>234</v>
      </c>
      <c r="K14" s="31" t="s">
        <v>153</v>
      </c>
      <c r="L14" s="31" t="s">
        <v>288</v>
      </c>
    </row>
    <row r="15" customFormat="false" ht="64.5" hidden="false" customHeight="true" outlineLevel="0" collapsed="false">
      <c r="A15" s="33" t="s">
        <v>289</v>
      </c>
      <c r="B15" s="33" t="s">
        <v>284</v>
      </c>
      <c r="C15" s="33" t="s">
        <v>245</v>
      </c>
      <c r="D15" s="33" t="s">
        <v>290</v>
      </c>
      <c r="E15" s="33" t="s">
        <v>222</v>
      </c>
      <c r="F15" s="33" t="s">
        <v>193</v>
      </c>
      <c r="G15" s="33" t="s">
        <v>291</v>
      </c>
      <c r="H15" s="33" t="s">
        <v>292</v>
      </c>
      <c r="I15" s="34" t="s">
        <v>233</v>
      </c>
      <c r="J15" s="35" t="s">
        <v>234</v>
      </c>
      <c r="K15" s="33" t="s">
        <v>153</v>
      </c>
      <c r="L15" s="33"/>
    </row>
    <row r="16" customFormat="false" ht="64.5" hidden="false" customHeight="true" outlineLevel="0" collapsed="false">
      <c r="A16" s="31" t="s">
        <v>293</v>
      </c>
      <c r="B16" s="31" t="s">
        <v>294</v>
      </c>
      <c r="C16" s="31" t="s">
        <v>237</v>
      </c>
      <c r="D16" s="31" t="s">
        <v>295</v>
      </c>
      <c r="E16" s="31" t="s">
        <v>222</v>
      </c>
      <c r="F16" s="31" t="s">
        <v>131</v>
      </c>
      <c r="G16" s="31" t="s">
        <v>296</v>
      </c>
      <c r="H16" s="31" t="s">
        <v>297</v>
      </c>
      <c r="I16" s="35" t="s">
        <v>234</v>
      </c>
      <c r="J16" s="35" t="s">
        <v>234</v>
      </c>
      <c r="K16" s="31" t="s">
        <v>153</v>
      </c>
      <c r="L16" s="31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45"/>
    <col collapsed="false" customWidth="true" hidden="false" outlineLevel="0" max="4" min="4" style="1" width="30"/>
    <col collapsed="false" customWidth="true" hidden="false" outlineLevel="0" max="5" min="5" style="1" width="26"/>
    <col collapsed="false" customWidth="true" hidden="false" outlineLevel="0" max="6" min="6" style="1" width="50"/>
    <col collapsed="false" customWidth="true" hidden="false" outlineLevel="0" max="7" min="7" style="1" width="42"/>
    <col collapsed="false" customWidth="true" hidden="false" outlineLevel="0" max="8" min="8" style="1" width="32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25"/>
  </cols>
  <sheetData>
    <row r="1" customFormat="false" ht="21.75" hidden="false" customHeight="true" outlineLevel="0" collapsed="false">
      <c r="A1" s="30" t="s">
        <v>299</v>
      </c>
      <c r="B1" s="30" t="s">
        <v>300</v>
      </c>
      <c r="C1" s="30" t="s">
        <v>210</v>
      </c>
      <c r="D1" s="30" t="s">
        <v>301</v>
      </c>
      <c r="E1" s="30" t="s">
        <v>212</v>
      </c>
      <c r="F1" s="30" t="s">
        <v>302</v>
      </c>
      <c r="G1" s="30" t="s">
        <v>303</v>
      </c>
      <c r="H1" s="30" t="s">
        <v>304</v>
      </c>
      <c r="I1" s="30" t="s">
        <v>215</v>
      </c>
      <c r="J1" s="30" t="s">
        <v>6</v>
      </c>
      <c r="K1" s="30" t="s">
        <v>7</v>
      </c>
    </row>
    <row r="2" customFormat="false" ht="64.5" hidden="false" customHeight="true" outlineLevel="0" collapsed="false">
      <c r="A2" s="31" t="s">
        <v>305</v>
      </c>
      <c r="B2" s="31" t="s">
        <v>306</v>
      </c>
      <c r="C2" s="31" t="s">
        <v>307</v>
      </c>
      <c r="D2" s="31" t="s">
        <v>308</v>
      </c>
      <c r="E2" s="31" t="s">
        <v>131</v>
      </c>
      <c r="F2" s="31" t="s">
        <v>309</v>
      </c>
      <c r="G2" s="31" t="s">
        <v>310</v>
      </c>
      <c r="H2" s="31"/>
      <c r="I2" s="36"/>
      <c r="J2" s="35" t="s">
        <v>311</v>
      </c>
      <c r="K2" s="31"/>
    </row>
    <row r="3" customFormat="false" ht="64.5" hidden="false" customHeight="true" outlineLevel="0" collapsed="false">
      <c r="A3" s="33" t="s">
        <v>312</v>
      </c>
      <c r="B3" s="33" t="s">
        <v>313</v>
      </c>
      <c r="C3" s="33" t="s">
        <v>314</v>
      </c>
      <c r="D3" s="33" t="s">
        <v>308</v>
      </c>
      <c r="E3" s="33" t="s">
        <v>148</v>
      </c>
      <c r="F3" s="33" t="s">
        <v>315</v>
      </c>
      <c r="G3" s="33" t="s">
        <v>316</v>
      </c>
      <c r="H3" s="33"/>
      <c r="I3" s="36"/>
      <c r="J3" s="35" t="s">
        <v>311</v>
      </c>
      <c r="K3" s="33"/>
    </row>
    <row r="4" customFormat="false" ht="64.5" hidden="false" customHeight="true" outlineLevel="0" collapsed="false">
      <c r="A4" s="31" t="s">
        <v>317</v>
      </c>
      <c r="B4" s="31" t="s">
        <v>318</v>
      </c>
      <c r="C4" s="31" t="s">
        <v>319</v>
      </c>
      <c r="D4" s="31" t="s">
        <v>308</v>
      </c>
      <c r="E4" s="31" t="s">
        <v>168</v>
      </c>
      <c r="F4" s="31" t="s">
        <v>320</v>
      </c>
      <c r="G4" s="31" t="s">
        <v>321</v>
      </c>
      <c r="H4" s="31"/>
      <c r="I4" s="36"/>
      <c r="J4" s="35" t="s">
        <v>311</v>
      </c>
      <c r="K4" s="31"/>
    </row>
    <row r="5" customFormat="false" ht="64.5" hidden="false" customHeight="true" outlineLevel="0" collapsed="false">
      <c r="A5" s="33" t="s">
        <v>322</v>
      </c>
      <c r="B5" s="33" t="s">
        <v>323</v>
      </c>
      <c r="C5" s="33" t="s">
        <v>324</v>
      </c>
      <c r="D5" s="33" t="s">
        <v>308</v>
      </c>
      <c r="E5" s="33" t="s">
        <v>193</v>
      </c>
      <c r="F5" s="33" t="s">
        <v>325</v>
      </c>
      <c r="G5" s="33" t="s">
        <v>326</v>
      </c>
      <c r="H5" s="33"/>
      <c r="I5" s="36"/>
      <c r="J5" s="35" t="s">
        <v>311</v>
      </c>
      <c r="K5" s="33"/>
    </row>
    <row r="6" customFormat="false" ht="64.5" hidden="false" customHeight="true" outlineLevel="0" collapsed="false">
      <c r="A6" s="31" t="s">
        <v>327</v>
      </c>
      <c r="B6" s="31" t="s">
        <v>328</v>
      </c>
      <c r="C6" s="31" t="s">
        <v>329</v>
      </c>
      <c r="D6" s="31" t="s">
        <v>308</v>
      </c>
      <c r="E6" s="31" t="s">
        <v>176</v>
      </c>
      <c r="F6" s="31" t="s">
        <v>330</v>
      </c>
      <c r="G6" s="31" t="s">
        <v>331</v>
      </c>
      <c r="H6" s="31"/>
      <c r="I6" s="36"/>
      <c r="J6" s="35" t="s">
        <v>311</v>
      </c>
      <c r="K6" s="31"/>
    </row>
    <row r="7" customFormat="false" ht="64.5" hidden="false" customHeight="true" outlineLevel="0" collapsed="false">
      <c r="A7" s="33" t="s">
        <v>332</v>
      </c>
      <c r="B7" s="33" t="s">
        <v>333</v>
      </c>
      <c r="C7" s="33" t="s">
        <v>334</v>
      </c>
      <c r="D7" s="33" t="s">
        <v>335</v>
      </c>
      <c r="E7" s="33" t="s">
        <v>131</v>
      </c>
      <c r="F7" s="33" t="s">
        <v>336</v>
      </c>
      <c r="G7" s="33" t="s">
        <v>337</v>
      </c>
      <c r="H7" s="33"/>
      <c r="I7" s="36"/>
      <c r="J7" s="35" t="s">
        <v>311</v>
      </c>
      <c r="K7" s="33" t="s">
        <v>338</v>
      </c>
    </row>
    <row r="8" customFormat="false" ht="64.5" hidden="false" customHeight="true" outlineLevel="0" collapsed="false">
      <c r="A8" s="31" t="s">
        <v>339</v>
      </c>
      <c r="B8" s="31" t="s">
        <v>340</v>
      </c>
      <c r="C8" s="31" t="s">
        <v>341</v>
      </c>
      <c r="D8" s="31" t="s">
        <v>342</v>
      </c>
      <c r="E8" s="31" t="s">
        <v>156</v>
      </c>
      <c r="F8" s="31" t="s">
        <v>343</v>
      </c>
      <c r="G8" s="31" t="s">
        <v>344</v>
      </c>
      <c r="H8" s="31"/>
      <c r="I8" s="36"/>
      <c r="J8" s="35" t="s">
        <v>311</v>
      </c>
      <c r="K8" s="31"/>
    </row>
    <row r="9" customFormat="false" ht="64.5" hidden="false" customHeight="true" outlineLevel="0" collapsed="false">
      <c r="A9" s="33" t="s">
        <v>345</v>
      </c>
      <c r="B9" s="33" t="s">
        <v>346</v>
      </c>
      <c r="C9" s="33" t="s">
        <v>347</v>
      </c>
      <c r="D9" s="33" t="s">
        <v>348</v>
      </c>
      <c r="E9" s="33" t="s">
        <v>148</v>
      </c>
      <c r="F9" s="33" t="s">
        <v>349</v>
      </c>
      <c r="G9" s="33" t="s">
        <v>350</v>
      </c>
      <c r="H9" s="33"/>
      <c r="I9" s="36"/>
      <c r="J9" s="35" t="s">
        <v>311</v>
      </c>
      <c r="K9" s="33" t="s">
        <v>351</v>
      </c>
    </row>
    <row r="10" customFormat="false" ht="64.5" hidden="false" customHeight="true" outlineLevel="0" collapsed="false">
      <c r="A10" s="31" t="s">
        <v>352</v>
      </c>
      <c r="B10" s="31" t="s">
        <v>353</v>
      </c>
      <c r="C10" s="31" t="s">
        <v>354</v>
      </c>
      <c r="D10" s="31" t="s">
        <v>355</v>
      </c>
      <c r="E10" s="31" t="s">
        <v>193</v>
      </c>
      <c r="F10" s="31" t="s">
        <v>356</v>
      </c>
      <c r="G10" s="31" t="s">
        <v>357</v>
      </c>
      <c r="H10" s="31"/>
      <c r="I10" s="36"/>
      <c r="J10" s="35" t="s">
        <v>311</v>
      </c>
      <c r="K10" s="31"/>
    </row>
    <row r="11" customFormat="false" ht="64.5" hidden="false" customHeight="true" outlineLevel="0" collapsed="false">
      <c r="A11" s="33" t="s">
        <v>358</v>
      </c>
      <c r="B11" s="33" t="s">
        <v>359</v>
      </c>
      <c r="C11" s="33" t="s">
        <v>360</v>
      </c>
      <c r="D11" s="33" t="s">
        <v>355</v>
      </c>
      <c r="E11" s="33" t="s">
        <v>193</v>
      </c>
      <c r="F11" s="33" t="s">
        <v>361</v>
      </c>
      <c r="G11" s="33" t="s">
        <v>362</v>
      </c>
      <c r="H11" s="33"/>
      <c r="I11" s="36"/>
      <c r="J11" s="35" t="s">
        <v>311</v>
      </c>
      <c r="K11" s="33"/>
    </row>
    <row r="12" customFormat="false" ht="64.5" hidden="false" customHeight="true" outlineLevel="0" collapsed="false">
      <c r="A12" s="31" t="s">
        <v>363</v>
      </c>
      <c r="B12" s="31" t="s">
        <v>364</v>
      </c>
      <c r="C12" s="31" t="s">
        <v>365</v>
      </c>
      <c r="D12" s="31" t="s">
        <v>355</v>
      </c>
      <c r="E12" s="31" t="s">
        <v>193</v>
      </c>
      <c r="F12" s="31" t="s">
        <v>366</v>
      </c>
      <c r="G12" s="31" t="s">
        <v>367</v>
      </c>
      <c r="H12" s="31"/>
      <c r="I12" s="36"/>
      <c r="J12" s="35" t="s">
        <v>311</v>
      </c>
      <c r="K12" s="31"/>
    </row>
    <row r="13" customFormat="false" ht="64.5" hidden="false" customHeight="true" outlineLevel="0" collapsed="false">
      <c r="A13" s="33" t="s">
        <v>368</v>
      </c>
      <c r="B13" s="33" t="s">
        <v>369</v>
      </c>
      <c r="C13" s="33" t="s">
        <v>370</v>
      </c>
      <c r="D13" s="33" t="s">
        <v>150</v>
      </c>
      <c r="E13" s="33" t="s">
        <v>148</v>
      </c>
      <c r="F13" s="33" t="s">
        <v>371</v>
      </c>
      <c r="G13" s="33" t="s">
        <v>372</v>
      </c>
      <c r="H13" s="33"/>
      <c r="I13" s="36"/>
      <c r="J13" s="35" t="s">
        <v>311</v>
      </c>
      <c r="K13" s="33"/>
    </row>
    <row r="14" customFormat="false" ht="64.5" hidden="false" customHeight="true" outlineLevel="0" collapsed="false">
      <c r="A14" s="31" t="s">
        <v>373</v>
      </c>
      <c r="B14" s="31" t="s">
        <v>374</v>
      </c>
      <c r="C14" s="31" t="s">
        <v>375</v>
      </c>
      <c r="D14" s="31" t="s">
        <v>308</v>
      </c>
      <c r="E14" s="31" t="s">
        <v>131</v>
      </c>
      <c r="F14" s="31" t="s">
        <v>376</v>
      </c>
      <c r="G14" s="31" t="s">
        <v>377</v>
      </c>
      <c r="H14" s="31"/>
      <c r="I14" s="36"/>
      <c r="J14" s="35" t="s">
        <v>311</v>
      </c>
      <c r="K14" s="31" t="s">
        <v>378</v>
      </c>
    </row>
    <row r="15" customFormat="false" ht="64.5" hidden="false" customHeight="true" outlineLevel="0" collapsed="false">
      <c r="A15" s="33" t="s">
        <v>379</v>
      </c>
      <c r="B15" s="33" t="s">
        <v>380</v>
      </c>
      <c r="C15" s="33" t="s">
        <v>381</v>
      </c>
      <c r="D15" s="33" t="s">
        <v>308</v>
      </c>
      <c r="E15" s="33" t="s">
        <v>131</v>
      </c>
      <c r="F15" s="33" t="s">
        <v>382</v>
      </c>
      <c r="G15" s="33" t="s">
        <v>383</v>
      </c>
      <c r="H15" s="33"/>
      <c r="I15" s="36"/>
      <c r="J15" s="35" t="s">
        <v>311</v>
      </c>
      <c r="K15" s="33"/>
    </row>
    <row r="16" customFormat="false" ht="64.5" hidden="false" customHeight="true" outlineLevel="0" collapsed="false">
      <c r="A16" s="31" t="s">
        <v>384</v>
      </c>
      <c r="B16" s="31" t="s">
        <v>385</v>
      </c>
      <c r="C16" s="31" t="s">
        <v>386</v>
      </c>
      <c r="D16" s="31" t="s">
        <v>387</v>
      </c>
      <c r="E16" s="31" t="s">
        <v>185</v>
      </c>
      <c r="F16" s="31" t="s">
        <v>388</v>
      </c>
      <c r="G16" s="31" t="s">
        <v>389</v>
      </c>
      <c r="H16" s="31"/>
      <c r="I16" s="36"/>
      <c r="J16" s="35" t="s">
        <v>311</v>
      </c>
      <c r="K16" s="31"/>
    </row>
    <row r="17" customFormat="false" ht="45.75" hidden="false" customHeight="true" outlineLevel="0" collapsed="false">
      <c r="A17" s="1" t="s">
        <v>390</v>
      </c>
      <c r="B17" s="1" t="s">
        <v>391</v>
      </c>
      <c r="C17" s="1" t="s">
        <v>392</v>
      </c>
      <c r="D17" s="1" t="s">
        <v>10</v>
      </c>
      <c r="E17" s="37" t="s">
        <v>393</v>
      </c>
      <c r="F17" s="1" t="s">
        <v>394</v>
      </c>
      <c r="I17" s="1" t="s">
        <v>311</v>
      </c>
      <c r="J17" s="1" t="s">
        <v>395</v>
      </c>
    </row>
    <row r="18" customFormat="false" ht="23.25" hidden="false" customHeight="true" outlineLevel="0" collapsed="false">
      <c r="A18" s="1" t="s">
        <v>396</v>
      </c>
      <c r="B18" s="1" t="s">
        <v>397</v>
      </c>
      <c r="C18" s="1" t="s">
        <v>392</v>
      </c>
      <c r="D18" s="1" t="s">
        <v>10</v>
      </c>
      <c r="E18" s="37" t="s">
        <v>398</v>
      </c>
      <c r="F18" s="1" t="s">
        <v>399</v>
      </c>
      <c r="I18" s="1" t="s">
        <v>311</v>
      </c>
      <c r="J18" s="1" t="s">
        <v>395</v>
      </c>
    </row>
    <row r="19" customFormat="false" ht="45.75" hidden="false" customHeight="true" outlineLevel="0" collapsed="false">
      <c r="A19" s="1" t="s">
        <v>400</v>
      </c>
      <c r="B19" s="1" t="s">
        <v>401</v>
      </c>
      <c r="C19" s="1" t="s">
        <v>402</v>
      </c>
      <c r="D19" s="1" t="s">
        <v>10</v>
      </c>
      <c r="E19" s="37" t="s">
        <v>403</v>
      </c>
      <c r="F19" s="1" t="s">
        <v>404</v>
      </c>
      <c r="I19" s="1" t="s">
        <v>311</v>
      </c>
      <c r="J19" s="1" t="s">
        <v>395</v>
      </c>
    </row>
    <row r="20" customFormat="false" ht="45.75" hidden="false" customHeight="true" outlineLevel="0" collapsed="false">
      <c r="A20" s="1" t="s">
        <v>405</v>
      </c>
      <c r="B20" s="1" t="s">
        <v>406</v>
      </c>
      <c r="C20" s="1" t="s">
        <v>407</v>
      </c>
      <c r="D20" s="1" t="s">
        <v>10</v>
      </c>
      <c r="E20" s="37" t="s">
        <v>408</v>
      </c>
      <c r="F20" s="1" t="s">
        <v>409</v>
      </c>
      <c r="I20" s="1" t="s">
        <v>311</v>
      </c>
      <c r="J20" s="1" t="s">
        <v>410</v>
      </c>
    </row>
    <row r="21" customFormat="false" ht="34.5" hidden="false" customHeight="true" outlineLevel="0" collapsed="false">
      <c r="A21" s="1" t="s">
        <v>411</v>
      </c>
      <c r="B21" s="1" t="s">
        <v>412</v>
      </c>
      <c r="C21" s="1" t="s">
        <v>413</v>
      </c>
      <c r="D21" s="1" t="s">
        <v>10</v>
      </c>
      <c r="E21" s="37" t="s">
        <v>414</v>
      </c>
      <c r="F21" s="1" t="s">
        <v>415</v>
      </c>
      <c r="I21" s="1" t="s">
        <v>311</v>
      </c>
      <c r="J21" s="1" t="s">
        <v>416</v>
      </c>
    </row>
    <row r="22" customFormat="false" ht="34.5" hidden="false" customHeight="true" outlineLevel="0" collapsed="false">
      <c r="A22" s="1" t="s">
        <v>417</v>
      </c>
      <c r="B22" s="1" t="s">
        <v>418</v>
      </c>
      <c r="C22" s="1" t="s">
        <v>419</v>
      </c>
      <c r="D22" s="1" t="s">
        <v>176</v>
      </c>
      <c r="E22" s="37" t="s">
        <v>420</v>
      </c>
      <c r="F22" s="1" t="s">
        <v>421</v>
      </c>
      <c r="I22" s="1" t="s">
        <v>311</v>
      </c>
      <c r="J22" s="1" t="s">
        <v>410</v>
      </c>
    </row>
    <row r="23" customFormat="false" ht="34.5" hidden="false" customHeight="true" outlineLevel="0" collapsed="false">
      <c r="A23" s="38" t="s">
        <v>422</v>
      </c>
      <c r="B23" s="38" t="s">
        <v>423</v>
      </c>
      <c r="C23" s="38" t="s">
        <v>424</v>
      </c>
      <c r="D23" s="38" t="s">
        <v>134</v>
      </c>
      <c r="E23" s="38" t="s">
        <v>131</v>
      </c>
      <c r="F23" s="38" t="s">
        <v>425</v>
      </c>
      <c r="G23" s="38" t="s">
        <v>426</v>
      </c>
      <c r="H23" s="38"/>
      <c r="I23" s="38"/>
      <c r="J23" s="38" t="s">
        <v>311</v>
      </c>
      <c r="K23" s="38" t="s">
        <v>427</v>
      </c>
    </row>
    <row r="24" customFormat="false" ht="34.5" hidden="false" customHeight="true" outlineLevel="0" collapsed="false">
      <c r="A24" s="38" t="s">
        <v>428</v>
      </c>
      <c r="B24" s="38" t="s">
        <v>429</v>
      </c>
      <c r="C24" s="38" t="s">
        <v>430</v>
      </c>
      <c r="D24" s="38" t="s">
        <v>134</v>
      </c>
      <c r="E24" s="38" t="s">
        <v>131</v>
      </c>
      <c r="F24" s="38" t="s">
        <v>431</v>
      </c>
      <c r="G24" s="38" t="s">
        <v>432</v>
      </c>
      <c r="H24" s="38"/>
      <c r="I24" s="38"/>
      <c r="J24" s="38" t="s">
        <v>311</v>
      </c>
      <c r="K24" s="38" t="s">
        <v>427</v>
      </c>
    </row>
    <row r="25" customFormat="false" ht="34.5" hidden="false" customHeight="true" outlineLevel="0" collapsed="false">
      <c r="A25" s="38" t="s">
        <v>433</v>
      </c>
      <c r="B25" s="38" t="s">
        <v>434</v>
      </c>
      <c r="C25" s="38" t="s">
        <v>435</v>
      </c>
      <c r="D25" s="38" t="s">
        <v>436</v>
      </c>
      <c r="E25" s="38" t="s">
        <v>131</v>
      </c>
      <c r="F25" s="38" t="s">
        <v>437</v>
      </c>
      <c r="G25" s="38" t="s">
        <v>438</v>
      </c>
      <c r="H25" s="38"/>
      <c r="I25" s="38"/>
      <c r="J25" s="38" t="s">
        <v>311</v>
      </c>
      <c r="K25" s="38" t="s">
        <v>427</v>
      </c>
    </row>
    <row r="26" customFormat="false" ht="34.5" hidden="false" customHeight="true" outlineLevel="0" collapsed="false">
      <c r="A26" s="38" t="s">
        <v>439</v>
      </c>
      <c r="B26" s="38" t="s">
        <v>440</v>
      </c>
      <c r="C26" s="38" t="s">
        <v>441</v>
      </c>
      <c r="D26" s="38" t="s">
        <v>134</v>
      </c>
      <c r="E26" s="38" t="s">
        <v>131</v>
      </c>
      <c r="F26" s="38" t="s">
        <v>442</v>
      </c>
      <c r="G26" s="38" t="s">
        <v>443</v>
      </c>
      <c r="H26" s="38"/>
      <c r="I26" s="38"/>
      <c r="J26" s="38" t="s">
        <v>311</v>
      </c>
      <c r="K26" s="38" t="s">
        <v>427</v>
      </c>
    </row>
    <row r="27" customFormat="false" ht="23.25" hidden="false" customHeight="true" outlineLevel="0" collapsed="false">
      <c r="A27" s="38" t="s">
        <v>444</v>
      </c>
      <c r="B27" s="38" t="s">
        <v>445</v>
      </c>
      <c r="C27" s="38" t="s">
        <v>446</v>
      </c>
      <c r="D27" s="38" t="s">
        <v>150</v>
      </c>
      <c r="E27" s="38" t="s">
        <v>148</v>
      </c>
      <c r="F27" s="38" t="s">
        <v>447</v>
      </c>
      <c r="G27" s="38" t="s">
        <v>448</v>
      </c>
      <c r="H27" s="38"/>
      <c r="I27" s="38"/>
      <c r="J27" s="38" t="s">
        <v>311</v>
      </c>
      <c r="K27" s="38" t="s">
        <v>427</v>
      </c>
    </row>
    <row r="28" customFormat="false" ht="34.5" hidden="false" customHeight="true" outlineLevel="0" collapsed="false">
      <c r="A28" s="38" t="s">
        <v>449</v>
      </c>
      <c r="B28" s="38" t="s">
        <v>450</v>
      </c>
      <c r="C28" s="38" t="s">
        <v>451</v>
      </c>
      <c r="D28" s="38" t="s">
        <v>308</v>
      </c>
      <c r="E28" s="38" t="s">
        <v>148</v>
      </c>
      <c r="F28" s="38" t="s">
        <v>452</v>
      </c>
      <c r="G28" s="38" t="s">
        <v>453</v>
      </c>
      <c r="H28" s="38"/>
      <c r="I28" s="38"/>
      <c r="J28" s="38" t="s">
        <v>311</v>
      </c>
      <c r="K28" s="38" t="s">
        <v>454</v>
      </c>
    </row>
    <row r="29" customFormat="false" ht="34.5" hidden="false" customHeight="true" outlineLevel="0" collapsed="false">
      <c r="A29" s="38" t="s">
        <v>455</v>
      </c>
      <c r="B29" s="38" t="s">
        <v>456</v>
      </c>
      <c r="C29" s="38" t="s">
        <v>457</v>
      </c>
      <c r="D29" s="38" t="s">
        <v>308</v>
      </c>
      <c r="E29" s="38" t="s">
        <v>176</v>
      </c>
      <c r="F29" s="38" t="s">
        <v>458</v>
      </c>
      <c r="G29" s="38" t="s">
        <v>459</v>
      </c>
      <c r="H29" s="38"/>
      <c r="I29" s="38"/>
      <c r="J29" s="38" t="s">
        <v>311</v>
      </c>
      <c r="K29" s="38" t="s">
        <v>454</v>
      </c>
    </row>
    <row r="30" customFormat="false" ht="34.5" hidden="false" customHeight="true" outlineLevel="0" collapsed="false">
      <c r="A30" s="38" t="s">
        <v>460</v>
      </c>
      <c r="B30" s="38" t="s">
        <v>461</v>
      </c>
      <c r="C30" s="38" t="s">
        <v>462</v>
      </c>
      <c r="D30" s="38" t="s">
        <v>308</v>
      </c>
      <c r="E30" s="38" t="s">
        <v>193</v>
      </c>
      <c r="F30" s="38" t="s">
        <v>463</v>
      </c>
      <c r="G30" s="38" t="s">
        <v>464</v>
      </c>
      <c r="H30" s="38"/>
      <c r="I30" s="38"/>
      <c r="J30" s="38" t="s">
        <v>311</v>
      </c>
      <c r="K30" s="38" t="s">
        <v>454</v>
      </c>
    </row>
    <row r="31" customFormat="false" ht="45.75" hidden="false" customHeight="true" outlineLevel="0" collapsed="false">
      <c r="A31" s="38" t="s">
        <v>465</v>
      </c>
      <c r="B31" s="38" t="s">
        <v>466</v>
      </c>
      <c r="C31" s="38" t="s">
        <v>467</v>
      </c>
      <c r="D31" s="38" t="s">
        <v>308</v>
      </c>
      <c r="E31" s="38" t="s">
        <v>468</v>
      </c>
      <c r="F31" s="38" t="s">
        <v>469</v>
      </c>
      <c r="G31" s="38" t="s">
        <v>470</v>
      </c>
      <c r="H31" s="38"/>
      <c r="I31" s="38"/>
      <c r="J31" s="38" t="s">
        <v>311</v>
      </c>
      <c r="K31" s="38" t="s">
        <v>471</v>
      </c>
    </row>
  </sheetData>
  <dataValidations count="2">
    <dataValidation allowBlank="true" errorStyle="stop" operator="between" showDropDown="false" showErrorMessage="false" showInputMessage="false" sqref="J2:J16" type="list">
      <formula1>"Not Started,In Progress,Pass,Fail,Retest Required,Blocked"</formula1>
      <formula2>0</formula2>
    </dataValidation>
    <dataValidation allowBlank="true" errorStyle="stop" operator="between" showDropDown="false" showErrorMessage="false" showInputMessage="false" sqref="I2:I16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42"/>
    <col collapsed="false" customWidth="true" hidden="false" outlineLevel="0" max="4" min="4" style="1" width="28"/>
    <col collapsed="false" customWidth="true" hidden="false" outlineLevel="0" max="5" min="5" style="1" width="26"/>
    <col collapsed="false" customWidth="true" hidden="false" outlineLevel="0" max="6" min="6" style="1" width="50"/>
    <col collapsed="false" customWidth="true" hidden="false" outlineLevel="0" max="7" min="7" style="1" width="42"/>
    <col collapsed="false" customWidth="true" hidden="false" outlineLevel="0" max="8" min="8" style="1" width="32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25"/>
  </cols>
  <sheetData>
    <row r="1" customFormat="false" ht="21.75" hidden="false" customHeight="true" outlineLevel="0" collapsed="false">
      <c r="A1" s="30" t="s">
        <v>299</v>
      </c>
      <c r="B1" s="30" t="s">
        <v>300</v>
      </c>
      <c r="C1" s="30" t="s">
        <v>210</v>
      </c>
      <c r="D1" s="30" t="s">
        <v>472</v>
      </c>
      <c r="E1" s="30" t="s">
        <v>212</v>
      </c>
      <c r="F1" s="30" t="s">
        <v>302</v>
      </c>
      <c r="G1" s="30" t="s">
        <v>303</v>
      </c>
      <c r="H1" s="30" t="s">
        <v>304</v>
      </c>
      <c r="I1" s="30" t="s">
        <v>215</v>
      </c>
      <c r="J1" s="30" t="s">
        <v>6</v>
      </c>
      <c r="K1" s="30" t="s">
        <v>7</v>
      </c>
    </row>
    <row r="2" customFormat="false" ht="64.5" hidden="false" customHeight="true" outlineLevel="0" collapsed="false">
      <c r="A2" s="31" t="s">
        <v>473</v>
      </c>
      <c r="B2" s="31" t="s">
        <v>474</v>
      </c>
      <c r="C2" s="31" t="s">
        <v>475</v>
      </c>
      <c r="D2" s="31" t="s">
        <v>133</v>
      </c>
      <c r="E2" s="31" t="s">
        <v>131</v>
      </c>
      <c r="F2" s="31" t="s">
        <v>476</v>
      </c>
      <c r="G2" s="31" t="s">
        <v>477</v>
      </c>
      <c r="H2" s="31"/>
      <c r="I2" s="36"/>
      <c r="J2" s="35" t="s">
        <v>311</v>
      </c>
      <c r="K2" s="31" t="s">
        <v>478</v>
      </c>
    </row>
    <row r="3" customFormat="false" ht="64.5" hidden="false" customHeight="true" outlineLevel="0" collapsed="false">
      <c r="A3" s="33" t="s">
        <v>479</v>
      </c>
      <c r="B3" s="33" t="s">
        <v>313</v>
      </c>
      <c r="C3" s="33" t="s">
        <v>480</v>
      </c>
      <c r="D3" s="33" t="s">
        <v>149</v>
      </c>
      <c r="E3" s="33" t="s">
        <v>156</v>
      </c>
      <c r="F3" s="33" t="s">
        <v>481</v>
      </c>
      <c r="G3" s="33" t="s">
        <v>482</v>
      </c>
      <c r="H3" s="33"/>
      <c r="I3" s="36"/>
      <c r="J3" s="35" t="s">
        <v>311</v>
      </c>
      <c r="K3" s="33"/>
    </row>
    <row r="4" customFormat="false" ht="64.5" hidden="false" customHeight="true" outlineLevel="0" collapsed="false">
      <c r="A4" s="31" t="s">
        <v>483</v>
      </c>
      <c r="B4" s="31" t="s">
        <v>318</v>
      </c>
      <c r="C4" s="31" t="s">
        <v>484</v>
      </c>
      <c r="D4" s="31" t="s">
        <v>485</v>
      </c>
      <c r="E4" s="31" t="s">
        <v>168</v>
      </c>
      <c r="F4" s="31" t="s">
        <v>486</v>
      </c>
      <c r="G4" s="31" t="s">
        <v>487</v>
      </c>
      <c r="H4" s="31"/>
      <c r="I4" s="36"/>
      <c r="J4" s="35" t="s">
        <v>311</v>
      </c>
      <c r="K4" s="31"/>
    </row>
    <row r="5" customFormat="false" ht="64.5" hidden="false" customHeight="true" outlineLevel="0" collapsed="false">
      <c r="A5" s="33" t="s">
        <v>488</v>
      </c>
      <c r="B5" s="33" t="s">
        <v>323</v>
      </c>
      <c r="C5" s="33" t="s">
        <v>489</v>
      </c>
      <c r="D5" s="33" t="s">
        <v>194</v>
      </c>
      <c r="E5" s="33" t="s">
        <v>193</v>
      </c>
      <c r="F5" s="33" t="s">
        <v>490</v>
      </c>
      <c r="G5" s="33" t="s">
        <v>491</v>
      </c>
      <c r="H5" s="33"/>
      <c r="I5" s="36"/>
      <c r="J5" s="35" t="s">
        <v>311</v>
      </c>
      <c r="K5" s="33"/>
    </row>
    <row r="6" customFormat="false" ht="64.5" hidden="false" customHeight="true" outlineLevel="0" collapsed="false">
      <c r="A6" s="31" t="s">
        <v>492</v>
      </c>
      <c r="B6" s="31" t="s">
        <v>328</v>
      </c>
      <c r="C6" s="31" t="s">
        <v>493</v>
      </c>
      <c r="D6" s="31" t="s">
        <v>177</v>
      </c>
      <c r="E6" s="31" t="s">
        <v>176</v>
      </c>
      <c r="F6" s="31" t="s">
        <v>494</v>
      </c>
      <c r="G6" s="31" t="s">
        <v>495</v>
      </c>
      <c r="H6" s="31"/>
      <c r="I6" s="36"/>
      <c r="J6" s="35" t="s">
        <v>311</v>
      </c>
      <c r="K6" s="31"/>
    </row>
    <row r="7" customFormat="false" ht="64.5" hidden="false" customHeight="true" outlineLevel="0" collapsed="false">
      <c r="A7" s="33" t="s">
        <v>496</v>
      </c>
      <c r="B7" s="33" t="s">
        <v>497</v>
      </c>
      <c r="C7" s="33" t="s">
        <v>498</v>
      </c>
      <c r="D7" s="33" t="s">
        <v>133</v>
      </c>
      <c r="E7" s="33" t="s">
        <v>131</v>
      </c>
      <c r="F7" s="33" t="s">
        <v>499</v>
      </c>
      <c r="G7" s="33" t="s">
        <v>500</v>
      </c>
      <c r="H7" s="33"/>
      <c r="I7" s="36"/>
      <c r="J7" s="35" t="s">
        <v>311</v>
      </c>
      <c r="K7" s="33"/>
    </row>
    <row r="8" customFormat="false" ht="64.5" hidden="false" customHeight="true" outlineLevel="0" collapsed="false">
      <c r="A8" s="31" t="s">
        <v>501</v>
      </c>
      <c r="B8" s="31" t="s">
        <v>502</v>
      </c>
      <c r="C8" s="31" t="s">
        <v>503</v>
      </c>
      <c r="D8" s="31" t="s">
        <v>504</v>
      </c>
      <c r="E8" s="31" t="s">
        <v>131</v>
      </c>
      <c r="F8" s="31" t="s">
        <v>505</v>
      </c>
      <c r="G8" s="31" t="s">
        <v>506</v>
      </c>
      <c r="H8" s="31"/>
      <c r="I8" s="36"/>
      <c r="J8" s="35" t="s">
        <v>311</v>
      </c>
      <c r="K8" s="31"/>
    </row>
    <row r="9" customFormat="false" ht="64.5" hidden="false" customHeight="true" outlineLevel="0" collapsed="false">
      <c r="A9" s="33" t="s">
        <v>507</v>
      </c>
      <c r="B9" s="33" t="s">
        <v>508</v>
      </c>
      <c r="C9" s="33" t="s">
        <v>509</v>
      </c>
      <c r="D9" s="33" t="s">
        <v>133</v>
      </c>
      <c r="E9" s="33" t="s">
        <v>131</v>
      </c>
      <c r="F9" s="33" t="s">
        <v>510</v>
      </c>
      <c r="G9" s="33" t="s">
        <v>511</v>
      </c>
      <c r="H9" s="33"/>
      <c r="I9" s="36"/>
      <c r="J9" s="35" t="s">
        <v>311</v>
      </c>
      <c r="K9" s="33"/>
    </row>
    <row r="10" customFormat="false" ht="64.5" hidden="false" customHeight="true" outlineLevel="0" collapsed="false">
      <c r="A10" s="31" t="s">
        <v>512</v>
      </c>
      <c r="B10" s="31" t="s">
        <v>513</v>
      </c>
      <c r="C10" s="31" t="s">
        <v>514</v>
      </c>
      <c r="D10" s="31" t="s">
        <v>149</v>
      </c>
      <c r="E10" s="31" t="s">
        <v>148</v>
      </c>
      <c r="F10" s="31" t="s">
        <v>515</v>
      </c>
      <c r="G10" s="31" t="s">
        <v>516</v>
      </c>
      <c r="H10" s="31"/>
      <c r="I10" s="36"/>
      <c r="J10" s="35" t="s">
        <v>311</v>
      </c>
      <c r="K10" s="31" t="s">
        <v>517</v>
      </c>
    </row>
    <row r="11" customFormat="false" ht="64.5" hidden="false" customHeight="true" outlineLevel="0" collapsed="false">
      <c r="A11" s="33" t="s">
        <v>518</v>
      </c>
      <c r="B11" s="33" t="s">
        <v>519</v>
      </c>
      <c r="C11" s="33" t="s">
        <v>520</v>
      </c>
      <c r="D11" s="33" t="s">
        <v>149</v>
      </c>
      <c r="E11" s="33" t="s">
        <v>148</v>
      </c>
      <c r="F11" s="33" t="s">
        <v>521</v>
      </c>
      <c r="G11" s="33" t="s">
        <v>522</v>
      </c>
      <c r="H11" s="33"/>
      <c r="I11" s="36"/>
      <c r="J11" s="35" t="s">
        <v>311</v>
      </c>
      <c r="K11" s="33"/>
    </row>
    <row r="12" customFormat="false" ht="64.5" hidden="false" customHeight="true" outlineLevel="0" collapsed="false">
      <c r="A12" s="31" t="s">
        <v>523</v>
      </c>
      <c r="B12" s="31" t="s">
        <v>524</v>
      </c>
      <c r="C12" s="31" t="s">
        <v>525</v>
      </c>
      <c r="D12" s="31" t="s">
        <v>194</v>
      </c>
      <c r="E12" s="31" t="s">
        <v>193</v>
      </c>
      <c r="F12" s="31" t="s">
        <v>526</v>
      </c>
      <c r="G12" s="31" t="s">
        <v>527</v>
      </c>
      <c r="H12" s="31"/>
      <c r="I12" s="36"/>
      <c r="J12" s="35" t="s">
        <v>311</v>
      </c>
      <c r="K12" s="31"/>
    </row>
    <row r="13" customFormat="false" ht="64.5" hidden="false" customHeight="true" outlineLevel="0" collapsed="false">
      <c r="A13" s="33" t="s">
        <v>528</v>
      </c>
      <c r="B13" s="33" t="s">
        <v>529</v>
      </c>
      <c r="C13" s="33" t="s">
        <v>530</v>
      </c>
      <c r="D13" s="33" t="s">
        <v>133</v>
      </c>
      <c r="E13" s="33" t="s">
        <v>131</v>
      </c>
      <c r="F13" s="33" t="s">
        <v>531</v>
      </c>
      <c r="G13" s="33" t="s">
        <v>532</v>
      </c>
      <c r="H13" s="33"/>
      <c r="I13" s="36"/>
      <c r="J13" s="35" t="s">
        <v>311</v>
      </c>
      <c r="K13" s="33" t="s">
        <v>533</v>
      </c>
    </row>
    <row r="14" customFormat="false" ht="34.5" hidden="false" customHeight="true" outlineLevel="0" collapsed="false">
      <c r="A14" s="39" t="s">
        <v>534</v>
      </c>
      <c r="B14" s="39" t="s">
        <v>535</v>
      </c>
      <c r="C14" s="39" t="s">
        <v>536</v>
      </c>
      <c r="D14" s="39" t="s">
        <v>537</v>
      </c>
      <c r="E14" s="39" t="s">
        <v>131</v>
      </c>
      <c r="F14" s="39" t="s">
        <v>538</v>
      </c>
      <c r="G14" s="39" t="s">
        <v>539</v>
      </c>
      <c r="H14" s="39"/>
      <c r="I14" s="39"/>
      <c r="J14" s="39" t="s">
        <v>311</v>
      </c>
      <c r="K14" s="39" t="s">
        <v>540</v>
      </c>
    </row>
    <row r="15" customFormat="false" ht="57" hidden="false" customHeight="true" outlineLevel="0" collapsed="false">
      <c r="A15" s="40" t="s">
        <v>541</v>
      </c>
      <c r="B15" s="40" t="s">
        <v>542</v>
      </c>
      <c r="C15" s="40" t="s">
        <v>543</v>
      </c>
      <c r="D15" s="40" t="s">
        <v>537</v>
      </c>
      <c r="E15" s="40" t="s">
        <v>131</v>
      </c>
      <c r="F15" s="40" t="s">
        <v>544</v>
      </c>
      <c r="G15" s="40" t="s">
        <v>545</v>
      </c>
      <c r="H15" s="40"/>
      <c r="I15" s="40"/>
      <c r="J15" s="40" t="s">
        <v>311</v>
      </c>
      <c r="K15" s="40" t="s">
        <v>546</v>
      </c>
    </row>
    <row r="16" customFormat="false" ht="68.25" hidden="false" customHeight="true" outlineLevel="0" collapsed="false">
      <c r="A16" s="39" t="s">
        <v>547</v>
      </c>
      <c r="B16" s="39" t="s">
        <v>548</v>
      </c>
      <c r="C16" s="39" t="s">
        <v>549</v>
      </c>
      <c r="D16" s="39" t="s">
        <v>537</v>
      </c>
      <c r="E16" s="39" t="s">
        <v>143</v>
      </c>
      <c r="F16" s="39" t="s">
        <v>550</v>
      </c>
      <c r="G16" s="39" t="s">
        <v>551</v>
      </c>
      <c r="H16" s="39"/>
      <c r="I16" s="39"/>
      <c r="J16" s="39" t="s">
        <v>311</v>
      </c>
      <c r="K16" s="39" t="s">
        <v>552</v>
      </c>
    </row>
    <row r="17" customFormat="false" ht="57" hidden="false" customHeight="true" outlineLevel="0" collapsed="false">
      <c r="A17" s="40" t="s">
        <v>553</v>
      </c>
      <c r="B17" s="40" t="s">
        <v>554</v>
      </c>
      <c r="C17" s="40" t="s">
        <v>555</v>
      </c>
      <c r="D17" s="40" t="s">
        <v>537</v>
      </c>
      <c r="E17" s="40" t="s">
        <v>139</v>
      </c>
      <c r="F17" s="40" t="s">
        <v>556</v>
      </c>
      <c r="G17" s="40" t="s">
        <v>557</v>
      </c>
      <c r="H17" s="40"/>
      <c r="I17" s="40"/>
      <c r="J17" s="40" t="s">
        <v>311</v>
      </c>
      <c r="K17" s="40"/>
    </row>
    <row r="18" customFormat="false" ht="57" hidden="false" customHeight="true" outlineLevel="0" collapsed="false">
      <c r="A18" s="39" t="s">
        <v>558</v>
      </c>
      <c r="B18" s="39" t="s">
        <v>559</v>
      </c>
      <c r="C18" s="39" t="s">
        <v>560</v>
      </c>
      <c r="D18" s="39" t="s">
        <v>537</v>
      </c>
      <c r="E18" s="39" t="s">
        <v>131</v>
      </c>
      <c r="F18" s="39" t="s">
        <v>561</v>
      </c>
      <c r="G18" s="39" t="s">
        <v>562</v>
      </c>
      <c r="H18" s="39"/>
      <c r="I18" s="39"/>
      <c r="J18" s="39" t="s">
        <v>311</v>
      </c>
      <c r="K18" s="39" t="s">
        <v>563</v>
      </c>
    </row>
    <row r="19" customFormat="false" ht="34.5" hidden="false" customHeight="true" outlineLevel="0" collapsed="false">
      <c r="A19" s="40" t="s">
        <v>564</v>
      </c>
      <c r="B19" s="40" t="s">
        <v>565</v>
      </c>
      <c r="C19" s="40" t="s">
        <v>566</v>
      </c>
      <c r="D19" s="40" t="s">
        <v>537</v>
      </c>
      <c r="E19" s="40" t="s">
        <v>131</v>
      </c>
      <c r="F19" s="40" t="s">
        <v>567</v>
      </c>
      <c r="G19" s="40" t="s">
        <v>568</v>
      </c>
      <c r="H19" s="40"/>
      <c r="I19" s="40"/>
      <c r="J19" s="40" t="s">
        <v>311</v>
      </c>
      <c r="K19" s="40"/>
    </row>
    <row r="20" customFormat="false" ht="68.25" hidden="false" customHeight="true" outlineLevel="0" collapsed="false">
      <c r="A20" s="39" t="s">
        <v>569</v>
      </c>
      <c r="B20" s="39" t="s">
        <v>570</v>
      </c>
      <c r="C20" s="39" t="s">
        <v>571</v>
      </c>
      <c r="D20" s="39" t="s">
        <v>537</v>
      </c>
      <c r="E20" s="39" t="s">
        <v>131</v>
      </c>
      <c r="F20" s="39" t="s">
        <v>572</v>
      </c>
      <c r="G20" s="39" t="s">
        <v>573</v>
      </c>
      <c r="H20" s="39"/>
      <c r="I20" s="39"/>
      <c r="J20" s="39" t="s">
        <v>311</v>
      </c>
      <c r="K20" s="39" t="s">
        <v>574</v>
      </c>
    </row>
    <row r="21" customFormat="false" ht="34.5" hidden="false" customHeight="true" outlineLevel="0" collapsed="false">
      <c r="A21" s="40" t="s">
        <v>575</v>
      </c>
      <c r="B21" s="40" t="s">
        <v>576</v>
      </c>
      <c r="C21" s="40" t="s">
        <v>577</v>
      </c>
      <c r="D21" s="40" t="s">
        <v>537</v>
      </c>
      <c r="E21" s="40" t="s">
        <v>131</v>
      </c>
      <c r="F21" s="40" t="s">
        <v>578</v>
      </c>
      <c r="G21" s="40" t="s">
        <v>579</v>
      </c>
      <c r="H21" s="40"/>
      <c r="I21" s="40"/>
      <c r="J21" s="40" t="s">
        <v>311</v>
      </c>
      <c r="K21" s="40"/>
    </row>
    <row r="22" customFormat="false" ht="45.75" hidden="false" customHeight="true" outlineLevel="0" collapsed="false">
      <c r="A22" s="39" t="s">
        <v>580</v>
      </c>
      <c r="B22" s="39" t="s">
        <v>581</v>
      </c>
      <c r="C22" s="39" t="s">
        <v>582</v>
      </c>
      <c r="D22" s="39" t="s">
        <v>537</v>
      </c>
      <c r="E22" s="39" t="s">
        <v>583</v>
      </c>
      <c r="F22" s="39" t="s">
        <v>584</v>
      </c>
      <c r="G22" s="39" t="s">
        <v>585</v>
      </c>
      <c r="H22" s="39"/>
      <c r="I22" s="39"/>
      <c r="J22" s="39" t="s">
        <v>311</v>
      </c>
      <c r="K22" s="39" t="s">
        <v>586</v>
      </c>
    </row>
    <row r="23" customFormat="false" ht="57" hidden="false" customHeight="true" outlineLevel="0" collapsed="false">
      <c r="A23" s="40" t="s">
        <v>587</v>
      </c>
      <c r="B23" s="40" t="s">
        <v>588</v>
      </c>
      <c r="C23" s="40" t="s">
        <v>589</v>
      </c>
      <c r="D23" s="40" t="s">
        <v>590</v>
      </c>
      <c r="E23" s="40" t="s">
        <v>131</v>
      </c>
      <c r="F23" s="40" t="s">
        <v>591</v>
      </c>
      <c r="G23" s="40" t="s">
        <v>592</v>
      </c>
      <c r="H23" s="40"/>
      <c r="I23" s="40"/>
      <c r="J23" s="40" t="s">
        <v>311</v>
      </c>
      <c r="K23" s="40" t="s">
        <v>593</v>
      </c>
    </row>
  </sheetData>
  <dataValidations count="2">
    <dataValidation allowBlank="true" errorStyle="stop" operator="between" showDropDown="false" showErrorMessage="false" showInputMessage="false" sqref="J2:J13" type="list">
      <formula1>"Not Started,In Progress,Pass,Fail,Retest Required,Blocked"</formula1>
      <formula2>0</formula2>
    </dataValidation>
    <dataValidation allowBlank="true" errorStyle="stop" operator="between" showDropDown="false" showErrorMessage="false" showInputMessage="false" sqref="I2:I13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5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14"/>
    <col collapsed="false" customWidth="true" hidden="false" outlineLevel="0" max="9" min="9" style="1" width="52"/>
    <col collapsed="false" customWidth="true" hidden="false" outlineLevel="0" max="10" min="10" style="1" width="44"/>
    <col collapsed="false" customWidth="true" hidden="false" outlineLevel="0" max="11" min="11" style="1" width="32"/>
    <col collapsed="false" customWidth="true" hidden="false" outlineLevel="0" max="12" min="12" style="1" width="10"/>
    <col collapsed="false" customWidth="true" hidden="false" outlineLevel="0" max="13" min="13" style="1" width="16"/>
    <col collapsed="false" customWidth="true" hidden="false" outlineLevel="0" max="14" min="14" style="1" width="28"/>
  </cols>
  <sheetData>
    <row r="1" customFormat="false" ht="21.75" hidden="false" customHeight="true" outlineLevel="0" collapsed="false">
      <c r="A1" s="30" t="s">
        <v>299</v>
      </c>
      <c r="B1" s="30" t="s">
        <v>594</v>
      </c>
      <c r="C1" s="30" t="s">
        <v>210</v>
      </c>
      <c r="D1" s="30" t="s">
        <v>595</v>
      </c>
      <c r="E1" s="30" t="s">
        <v>596</v>
      </c>
      <c r="F1" s="30" t="s">
        <v>597</v>
      </c>
      <c r="G1" s="30" t="s">
        <v>212</v>
      </c>
      <c r="H1" s="30" t="s">
        <v>124</v>
      </c>
      <c r="I1" s="30" t="s">
        <v>302</v>
      </c>
      <c r="J1" s="30" t="s">
        <v>303</v>
      </c>
      <c r="K1" s="30" t="s">
        <v>304</v>
      </c>
      <c r="L1" s="30" t="s">
        <v>215</v>
      </c>
      <c r="M1" s="30" t="s">
        <v>6</v>
      </c>
      <c r="N1" s="30" t="s">
        <v>7</v>
      </c>
    </row>
    <row r="2" customFormat="false" ht="64.5" hidden="false" customHeight="true" outlineLevel="0" collapsed="false">
      <c r="A2" s="31" t="s">
        <v>598</v>
      </c>
      <c r="B2" s="31" t="s">
        <v>599</v>
      </c>
      <c r="C2" s="31" t="s">
        <v>600</v>
      </c>
      <c r="D2" s="41" t="s">
        <v>601</v>
      </c>
      <c r="E2" s="31" t="s">
        <v>602</v>
      </c>
      <c r="F2" s="31" t="s">
        <v>603</v>
      </c>
      <c r="G2" s="31" t="s">
        <v>148</v>
      </c>
      <c r="H2" s="31" t="s">
        <v>132</v>
      </c>
      <c r="I2" s="31" t="s">
        <v>604</v>
      </c>
      <c r="J2" s="31" t="s">
        <v>605</v>
      </c>
      <c r="K2" s="31"/>
      <c r="L2" s="36"/>
      <c r="M2" s="35" t="s">
        <v>311</v>
      </c>
      <c r="N2" s="31" t="s">
        <v>606</v>
      </c>
    </row>
    <row r="3" customFormat="false" ht="64.5" hidden="false" customHeight="true" outlineLevel="0" collapsed="false">
      <c r="A3" s="33" t="s">
        <v>607</v>
      </c>
      <c r="B3" s="33" t="s">
        <v>608</v>
      </c>
      <c r="C3" s="33" t="s">
        <v>609</v>
      </c>
      <c r="D3" s="34" t="s">
        <v>610</v>
      </c>
      <c r="E3" s="33" t="s">
        <v>602</v>
      </c>
      <c r="F3" s="33" t="s">
        <v>603</v>
      </c>
      <c r="G3" s="33" t="s">
        <v>156</v>
      </c>
      <c r="H3" s="33" t="s">
        <v>132</v>
      </c>
      <c r="I3" s="33" t="s">
        <v>611</v>
      </c>
      <c r="J3" s="33" t="s">
        <v>612</v>
      </c>
      <c r="K3" s="33"/>
      <c r="L3" s="36"/>
      <c r="M3" s="35" t="s">
        <v>311</v>
      </c>
      <c r="N3" s="33" t="s">
        <v>613</v>
      </c>
    </row>
    <row r="4" customFormat="false" ht="64.5" hidden="false" customHeight="true" outlineLevel="0" collapsed="false">
      <c r="A4" s="31" t="s">
        <v>614</v>
      </c>
      <c r="B4" s="31" t="s">
        <v>615</v>
      </c>
      <c r="C4" s="31" t="s">
        <v>616</v>
      </c>
      <c r="D4" s="41" t="s">
        <v>601</v>
      </c>
      <c r="E4" s="31" t="s">
        <v>602</v>
      </c>
      <c r="F4" s="31" t="s">
        <v>603</v>
      </c>
      <c r="G4" s="31" t="s">
        <v>160</v>
      </c>
      <c r="H4" s="31" t="s">
        <v>132</v>
      </c>
      <c r="I4" s="31" t="s">
        <v>617</v>
      </c>
      <c r="J4" s="31" t="s">
        <v>618</v>
      </c>
      <c r="K4" s="31"/>
      <c r="L4" s="36"/>
      <c r="M4" s="35" t="s">
        <v>311</v>
      </c>
      <c r="N4" s="31"/>
    </row>
    <row r="5" customFormat="false" ht="64.5" hidden="false" customHeight="true" outlineLevel="0" collapsed="false">
      <c r="A5" s="33" t="s">
        <v>619</v>
      </c>
      <c r="B5" s="33" t="s">
        <v>620</v>
      </c>
      <c r="C5" s="33" t="s">
        <v>621</v>
      </c>
      <c r="D5" s="34" t="s">
        <v>610</v>
      </c>
      <c r="E5" s="33" t="s">
        <v>602</v>
      </c>
      <c r="F5" s="33" t="s">
        <v>603</v>
      </c>
      <c r="G5" s="33" t="s">
        <v>164</v>
      </c>
      <c r="H5" s="33" t="s">
        <v>132</v>
      </c>
      <c r="I5" s="33" t="s">
        <v>622</v>
      </c>
      <c r="J5" s="33" t="s">
        <v>623</v>
      </c>
      <c r="K5" s="33"/>
      <c r="L5" s="36"/>
      <c r="M5" s="35" t="s">
        <v>311</v>
      </c>
      <c r="N5" s="33"/>
    </row>
    <row r="6" customFormat="false" ht="64.5" hidden="false" customHeight="true" outlineLevel="0" collapsed="false">
      <c r="A6" s="31" t="s">
        <v>624</v>
      </c>
      <c r="B6" s="31" t="s">
        <v>625</v>
      </c>
      <c r="C6" s="31" t="s">
        <v>626</v>
      </c>
      <c r="D6" s="34" t="s">
        <v>610</v>
      </c>
      <c r="E6" s="31" t="s">
        <v>602</v>
      </c>
      <c r="F6" s="31" t="s">
        <v>603</v>
      </c>
      <c r="G6" s="31" t="s">
        <v>160</v>
      </c>
      <c r="H6" s="31" t="s">
        <v>132</v>
      </c>
      <c r="I6" s="31" t="s">
        <v>627</v>
      </c>
      <c r="J6" s="31" t="s">
        <v>628</v>
      </c>
      <c r="K6" s="31"/>
      <c r="L6" s="36"/>
      <c r="M6" s="35" t="s">
        <v>311</v>
      </c>
      <c r="N6" s="31" t="s">
        <v>629</v>
      </c>
    </row>
    <row r="7" customFormat="false" ht="64.5" hidden="false" customHeight="true" outlineLevel="0" collapsed="false">
      <c r="A7" s="33" t="s">
        <v>630</v>
      </c>
      <c r="B7" s="33" t="s">
        <v>631</v>
      </c>
      <c r="C7" s="33" t="s">
        <v>632</v>
      </c>
      <c r="D7" s="34" t="s">
        <v>610</v>
      </c>
      <c r="E7" s="33" t="s">
        <v>633</v>
      </c>
      <c r="F7" s="33" t="s">
        <v>634</v>
      </c>
      <c r="G7" s="33" t="s">
        <v>131</v>
      </c>
      <c r="H7" s="33" t="s">
        <v>132</v>
      </c>
      <c r="I7" s="33" t="s">
        <v>635</v>
      </c>
      <c r="J7" s="33" t="s">
        <v>636</v>
      </c>
      <c r="K7" s="33"/>
      <c r="L7" s="36"/>
      <c r="M7" s="35" t="s">
        <v>311</v>
      </c>
      <c r="N7" s="33"/>
    </row>
    <row r="8" customFormat="false" ht="64.5" hidden="false" customHeight="true" outlineLevel="0" collapsed="false">
      <c r="A8" s="31" t="s">
        <v>637</v>
      </c>
      <c r="B8" s="31" t="s">
        <v>638</v>
      </c>
      <c r="C8" s="31" t="s">
        <v>639</v>
      </c>
      <c r="D8" s="34" t="s">
        <v>610</v>
      </c>
      <c r="E8" s="31" t="s">
        <v>640</v>
      </c>
      <c r="F8" s="31" t="s">
        <v>641</v>
      </c>
      <c r="G8" s="31" t="s">
        <v>148</v>
      </c>
      <c r="H8" s="31" t="s">
        <v>132</v>
      </c>
      <c r="I8" s="31" t="s">
        <v>642</v>
      </c>
      <c r="J8" s="31" t="s">
        <v>643</v>
      </c>
      <c r="K8" s="31"/>
      <c r="L8" s="36"/>
      <c r="M8" s="35" t="s">
        <v>311</v>
      </c>
      <c r="N8" s="31"/>
    </row>
    <row r="9" customFormat="false" ht="64.5" hidden="false" customHeight="true" outlineLevel="0" collapsed="false">
      <c r="A9" s="33" t="s">
        <v>644</v>
      </c>
      <c r="B9" s="33" t="s">
        <v>645</v>
      </c>
      <c r="C9" s="33" t="s">
        <v>646</v>
      </c>
      <c r="D9" s="34" t="s">
        <v>610</v>
      </c>
      <c r="E9" s="33" t="s">
        <v>640</v>
      </c>
      <c r="F9" s="33" t="s">
        <v>641</v>
      </c>
      <c r="G9" s="33" t="s">
        <v>148</v>
      </c>
      <c r="H9" s="33" t="s">
        <v>132</v>
      </c>
      <c r="I9" s="33" t="s">
        <v>647</v>
      </c>
      <c r="J9" s="33" t="s">
        <v>648</v>
      </c>
      <c r="K9" s="33"/>
      <c r="L9" s="36"/>
      <c r="M9" s="35" t="s">
        <v>311</v>
      </c>
      <c r="N9" s="33"/>
    </row>
    <row r="10" customFormat="false" ht="64.5" hidden="false" customHeight="true" outlineLevel="0" collapsed="false">
      <c r="A10" s="31" t="s">
        <v>649</v>
      </c>
      <c r="B10" s="31" t="s">
        <v>650</v>
      </c>
      <c r="C10" s="31" t="s">
        <v>651</v>
      </c>
      <c r="D10" s="41" t="s">
        <v>601</v>
      </c>
      <c r="E10" s="31" t="s">
        <v>640</v>
      </c>
      <c r="F10" s="31" t="s">
        <v>641</v>
      </c>
      <c r="G10" s="31" t="s">
        <v>148</v>
      </c>
      <c r="H10" s="31" t="s">
        <v>132</v>
      </c>
      <c r="I10" s="31" t="s">
        <v>652</v>
      </c>
      <c r="J10" s="31" t="s">
        <v>231</v>
      </c>
      <c r="K10" s="31"/>
      <c r="L10" s="36"/>
      <c r="M10" s="35" t="s">
        <v>311</v>
      </c>
      <c r="N10" s="31"/>
    </row>
    <row r="11" customFormat="false" ht="64.5" hidden="false" customHeight="true" outlineLevel="0" collapsed="false">
      <c r="A11" s="33" t="s">
        <v>653</v>
      </c>
      <c r="B11" s="33" t="s">
        <v>654</v>
      </c>
      <c r="C11" s="33" t="s">
        <v>655</v>
      </c>
      <c r="D11" s="34" t="s">
        <v>610</v>
      </c>
      <c r="E11" s="33" t="s">
        <v>656</v>
      </c>
      <c r="F11" s="33" t="s">
        <v>603</v>
      </c>
      <c r="G11" s="33" t="s">
        <v>657</v>
      </c>
      <c r="H11" s="33" t="s">
        <v>234</v>
      </c>
      <c r="I11" s="33" t="s">
        <v>658</v>
      </c>
      <c r="J11" s="33" t="s">
        <v>659</v>
      </c>
      <c r="K11" s="33" t="s">
        <v>660</v>
      </c>
      <c r="L11" s="34" t="s">
        <v>233</v>
      </c>
      <c r="M11" s="34" t="s">
        <v>13</v>
      </c>
      <c r="N11" s="33" t="s">
        <v>661</v>
      </c>
    </row>
  </sheetData>
  <dataValidations count="2">
    <dataValidation allowBlank="true" errorStyle="stop" operator="between" showDropDown="false" showErrorMessage="false" showInputMessage="false" sqref="M2:M11" type="list">
      <formula1>"Not Started,In Progress,Pass,Fail,Retest Required,Completed,N/A"</formula1>
      <formula2>0</formula2>
    </dataValidation>
    <dataValidation allowBlank="true" errorStyle="stop" operator="between" showDropDown="false" showErrorMessage="false" showInputMessage="false" sqref="L2:L11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8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6"/>
    <col collapsed="false" customWidth="true" hidden="false" outlineLevel="0" max="10" min="9" style="1" width="18"/>
    <col collapsed="false" customWidth="true" hidden="false" outlineLevel="0" max="11" min="11" style="1" width="45"/>
  </cols>
  <sheetData>
    <row r="1" customFormat="false" ht="21.75" hidden="false" customHeight="true" outlineLevel="0" collapsed="false">
      <c r="A1" s="30" t="s">
        <v>662</v>
      </c>
      <c r="B1" s="30" t="s">
        <v>129</v>
      </c>
      <c r="C1" s="30" t="s">
        <v>663</v>
      </c>
      <c r="D1" s="30" t="s">
        <v>664</v>
      </c>
      <c r="E1" s="30" t="s">
        <v>665</v>
      </c>
      <c r="F1" s="30" t="s">
        <v>666</v>
      </c>
      <c r="G1" s="30" t="s">
        <v>667</v>
      </c>
      <c r="H1" s="30" t="s">
        <v>668</v>
      </c>
      <c r="I1" s="30" t="s">
        <v>669</v>
      </c>
      <c r="J1" s="30" t="s">
        <v>670</v>
      </c>
      <c r="K1" s="30" t="s">
        <v>671</v>
      </c>
    </row>
    <row r="2" customFormat="false" ht="30" hidden="false" customHeight="true" outlineLevel="0" collapsed="false">
      <c r="A2" s="31" t="s">
        <v>672</v>
      </c>
      <c r="B2" s="31" t="s">
        <v>130</v>
      </c>
      <c r="C2" s="31" t="s">
        <v>147</v>
      </c>
      <c r="D2" s="31" t="s">
        <v>673</v>
      </c>
      <c r="E2" s="31" t="s">
        <v>674</v>
      </c>
      <c r="F2" s="34" t="s">
        <v>675</v>
      </c>
      <c r="G2" s="31" t="s">
        <v>148</v>
      </c>
      <c r="H2" s="31" t="s">
        <v>676</v>
      </c>
      <c r="I2" s="34" t="s">
        <v>677</v>
      </c>
      <c r="J2" s="31" t="s">
        <v>147</v>
      </c>
      <c r="K2" s="31" t="s">
        <v>678</v>
      </c>
    </row>
    <row r="3" customFormat="false" ht="30" hidden="false" customHeight="true" outlineLevel="0" collapsed="false">
      <c r="A3" s="33" t="s">
        <v>679</v>
      </c>
      <c r="B3" s="33" t="s">
        <v>130</v>
      </c>
      <c r="C3" s="33" t="s">
        <v>147</v>
      </c>
      <c r="D3" s="33" t="s">
        <v>680</v>
      </c>
      <c r="E3" s="33" t="s">
        <v>681</v>
      </c>
      <c r="F3" s="42" t="s">
        <v>682</v>
      </c>
      <c r="G3" s="33" t="s">
        <v>193</v>
      </c>
      <c r="H3" s="33" t="s">
        <v>682</v>
      </c>
      <c r="I3" s="34" t="s">
        <v>677</v>
      </c>
      <c r="J3" s="33" t="s">
        <v>147</v>
      </c>
      <c r="K3" s="33" t="s">
        <v>683</v>
      </c>
    </row>
    <row r="4" customFormat="false" ht="30" hidden="false" customHeight="true" outlineLevel="0" collapsed="false">
      <c r="A4" s="31" t="s">
        <v>684</v>
      </c>
      <c r="B4" s="31" t="s">
        <v>130</v>
      </c>
      <c r="C4" s="31" t="s">
        <v>147</v>
      </c>
      <c r="D4" s="31" t="s">
        <v>685</v>
      </c>
      <c r="E4" s="31" t="s">
        <v>686</v>
      </c>
      <c r="F4" s="34" t="s">
        <v>675</v>
      </c>
      <c r="G4" s="31" t="s">
        <v>148</v>
      </c>
      <c r="H4" s="31" t="s">
        <v>676</v>
      </c>
      <c r="I4" s="34" t="s">
        <v>677</v>
      </c>
      <c r="J4" s="31" t="s">
        <v>147</v>
      </c>
      <c r="K4" s="31" t="s">
        <v>687</v>
      </c>
    </row>
    <row r="5" customFormat="false" ht="30" hidden="false" customHeight="true" outlineLevel="0" collapsed="false">
      <c r="A5" s="33" t="s">
        <v>688</v>
      </c>
      <c r="B5" s="33" t="s">
        <v>130</v>
      </c>
      <c r="C5" s="33" t="s">
        <v>147</v>
      </c>
      <c r="D5" s="33" t="s">
        <v>689</v>
      </c>
      <c r="E5" s="33" t="s">
        <v>690</v>
      </c>
      <c r="F5" s="42" t="s">
        <v>682</v>
      </c>
      <c r="G5" s="33" t="s">
        <v>193</v>
      </c>
      <c r="H5" s="33" t="s">
        <v>682</v>
      </c>
      <c r="I5" s="34" t="s">
        <v>677</v>
      </c>
      <c r="J5" s="33" t="s">
        <v>147</v>
      </c>
      <c r="K5" s="33" t="s">
        <v>691</v>
      </c>
    </row>
    <row r="6" customFormat="false" ht="30" hidden="false" customHeight="true" outlineLevel="0" collapsed="false">
      <c r="A6" s="31" t="s">
        <v>692</v>
      </c>
      <c r="B6" s="31" t="s">
        <v>130</v>
      </c>
      <c r="C6" s="31" t="s">
        <v>147</v>
      </c>
      <c r="D6" s="31" t="s">
        <v>693</v>
      </c>
      <c r="E6" s="31" t="s">
        <v>694</v>
      </c>
      <c r="F6" s="34" t="s">
        <v>675</v>
      </c>
      <c r="G6" s="31" t="s">
        <v>148</v>
      </c>
      <c r="H6" s="31" t="s">
        <v>676</v>
      </c>
      <c r="I6" s="34" t="s">
        <v>677</v>
      </c>
      <c r="J6" s="31" t="s">
        <v>147</v>
      </c>
      <c r="K6" s="31" t="s">
        <v>695</v>
      </c>
    </row>
    <row r="7" customFormat="false" ht="30" hidden="false" customHeight="true" outlineLevel="0" collapsed="false">
      <c r="A7" s="33" t="s">
        <v>696</v>
      </c>
      <c r="B7" s="33" t="s">
        <v>130</v>
      </c>
      <c r="C7" s="33" t="s">
        <v>155</v>
      </c>
      <c r="D7" s="33" t="s">
        <v>697</v>
      </c>
      <c r="E7" s="33" t="s">
        <v>698</v>
      </c>
      <c r="F7" s="42" t="s">
        <v>682</v>
      </c>
      <c r="G7" s="33" t="s">
        <v>198</v>
      </c>
      <c r="H7" s="33" t="s">
        <v>682</v>
      </c>
      <c r="I7" s="34" t="s">
        <v>677</v>
      </c>
      <c r="J7" s="33" t="s">
        <v>155</v>
      </c>
      <c r="K7" s="33" t="s">
        <v>699</v>
      </c>
    </row>
    <row r="8" customFormat="false" ht="30" hidden="false" customHeight="true" outlineLevel="0" collapsed="false">
      <c r="A8" s="31" t="s">
        <v>700</v>
      </c>
      <c r="B8" s="31" t="s">
        <v>130</v>
      </c>
      <c r="C8" s="31" t="s">
        <v>155</v>
      </c>
      <c r="D8" s="31" t="s">
        <v>701</v>
      </c>
      <c r="E8" s="31" t="s">
        <v>702</v>
      </c>
      <c r="F8" s="34" t="s">
        <v>675</v>
      </c>
      <c r="G8" s="31" t="s">
        <v>156</v>
      </c>
      <c r="H8" s="31" t="s">
        <v>676</v>
      </c>
      <c r="I8" s="34" t="s">
        <v>677</v>
      </c>
      <c r="J8" s="31" t="s">
        <v>155</v>
      </c>
      <c r="K8" s="31" t="s">
        <v>703</v>
      </c>
    </row>
    <row r="10" customFormat="false" ht="15" hidden="false" customHeight="true" outlineLevel="0" collapsed="false">
      <c r="A10" s="43" t="s">
        <v>704</v>
      </c>
    </row>
    <row r="11" customFormat="false" ht="15" hidden="false" customHeight="true" outlineLevel="0" collapsed="false">
      <c r="A11" s="44" t="s">
        <v>705</v>
      </c>
    </row>
    <row r="12" customFormat="false" ht="15" hidden="false" customHeight="true" outlineLevel="0" collapsed="false">
      <c r="A12" s="45" t="s">
        <v>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35"/>
  </cols>
  <sheetData>
    <row r="1" customFormat="false" ht="21.75" hidden="false" customHeight="true" outlineLevel="0" collapsed="false">
      <c r="A1" s="30" t="s">
        <v>707</v>
      </c>
      <c r="B1" s="30" t="s">
        <v>708</v>
      </c>
      <c r="C1" s="30" t="s">
        <v>7</v>
      </c>
    </row>
    <row r="2" customFormat="false" ht="19.5" hidden="false" customHeight="true" outlineLevel="0" collapsed="false">
      <c r="A2" s="46" t="s">
        <v>709</v>
      </c>
      <c r="B2" s="47"/>
      <c r="C2" s="46"/>
    </row>
    <row r="3" customFormat="false" ht="19.5" hidden="false" customHeight="true" outlineLevel="0" collapsed="false">
      <c r="A3" s="48" t="s">
        <v>710</v>
      </c>
      <c r="B3" s="49" t="n">
        <f aca="false">COUNTA('API Tests — Session 6'!A2:A100)</f>
        <v>15</v>
      </c>
      <c r="C3" s="48" t="s">
        <v>711</v>
      </c>
    </row>
    <row r="4" customFormat="false" ht="19.5" hidden="false" customHeight="true" outlineLevel="0" collapsed="false">
      <c r="A4" s="50" t="s">
        <v>233</v>
      </c>
      <c r="B4" s="51" t="n">
        <f aca="false">COUNTIF('API Tests — Session 6'!I2:I100,"Pass")</f>
        <v>10</v>
      </c>
      <c r="C4" s="50"/>
    </row>
    <row r="5" customFormat="false" ht="19.5" hidden="false" customHeight="true" outlineLevel="0" collapsed="false">
      <c r="A5" s="48" t="s">
        <v>712</v>
      </c>
      <c r="B5" s="49" t="n">
        <f aca="false">COUNTIF('API Tests — Session 6'!I2:I100,"Fixed")</f>
        <v>4</v>
      </c>
      <c r="C5" s="48" t="s">
        <v>713</v>
      </c>
    </row>
    <row r="6" customFormat="false" ht="19.5" hidden="false" customHeight="true" outlineLevel="0" collapsed="false">
      <c r="A6" s="50" t="s">
        <v>714</v>
      </c>
      <c r="B6" s="51" t="n">
        <f aca="false">COUNTIF('API Tests — Session 6'!I2:I100,"N/A")</f>
        <v>1</v>
      </c>
      <c r="C6" s="50" t="s">
        <v>715</v>
      </c>
    </row>
    <row r="7" customFormat="false" ht="19.5" hidden="false" customHeight="true" outlineLevel="0" collapsed="false">
      <c r="A7" s="48"/>
      <c r="B7" s="49"/>
      <c r="C7" s="48"/>
    </row>
    <row r="8" customFormat="false" ht="19.5" hidden="false" customHeight="true" outlineLevel="0" collapsed="false">
      <c r="A8" s="46" t="s">
        <v>716</v>
      </c>
      <c r="B8" s="47"/>
      <c r="C8" s="46"/>
    </row>
    <row r="9" customFormat="false" ht="19.5" hidden="false" customHeight="true" outlineLevel="0" collapsed="false">
      <c r="A9" s="48" t="s">
        <v>717</v>
      </c>
      <c r="B9" s="49" t="n">
        <f aca="false">COUNTA('Browser Tests'!A2:A100)</f>
        <v>30</v>
      </c>
      <c r="C9" s="48" t="s">
        <v>718</v>
      </c>
    </row>
    <row r="10" customFormat="false" ht="19.5" hidden="false" customHeight="true" outlineLevel="0" collapsed="false">
      <c r="A10" s="50" t="s">
        <v>311</v>
      </c>
      <c r="B10" s="51" t="n">
        <f aca="false">COUNTIF('Browser Tests'!J2:J100,"Not Started")</f>
        <v>24</v>
      </c>
      <c r="C10" s="50"/>
    </row>
    <row r="11" customFormat="false" ht="19.5" hidden="false" customHeight="true" outlineLevel="0" collapsed="false">
      <c r="A11" s="48" t="s">
        <v>233</v>
      </c>
      <c r="B11" s="49" t="n">
        <f aca="false">COUNTIF('Browser Tests'!I2:I100,"Pass")</f>
        <v>0</v>
      </c>
      <c r="C11" s="48"/>
    </row>
    <row r="12" customFormat="false" ht="19.5" hidden="false" customHeight="true" outlineLevel="0" collapsed="false">
      <c r="A12" s="50" t="s">
        <v>719</v>
      </c>
      <c r="B12" s="51" t="n">
        <f aca="false">COUNTIF('Browser Tests'!I2:I100,"Fail")</f>
        <v>0</v>
      </c>
      <c r="C12" s="50"/>
    </row>
    <row r="13" customFormat="false" ht="19.5" hidden="false" customHeight="true" outlineLevel="0" collapsed="false">
      <c r="A13" s="48"/>
      <c r="B13" s="49"/>
      <c r="C13" s="48"/>
    </row>
    <row r="14" customFormat="false" ht="19.5" hidden="false" customHeight="true" outlineLevel="0" collapsed="false">
      <c r="A14" s="46" t="s">
        <v>720</v>
      </c>
      <c r="B14" s="47"/>
      <c r="C14" s="46"/>
    </row>
    <row r="15" customFormat="false" ht="19.5" hidden="false" customHeight="true" outlineLevel="0" collapsed="false">
      <c r="A15" s="48" t="s">
        <v>721</v>
      </c>
      <c r="B15" s="49" t="n">
        <f aca="false">COUNTA('Mobile Tests'!A2:A100)</f>
        <v>22</v>
      </c>
      <c r="C15" s="48" t="s">
        <v>722</v>
      </c>
    </row>
    <row r="16" customFormat="false" ht="19.5" hidden="false" customHeight="true" outlineLevel="0" collapsed="false">
      <c r="A16" s="50" t="s">
        <v>311</v>
      </c>
      <c r="B16" s="51" t="n">
        <f aca="false">COUNTIF('Mobile Tests'!J2:J100,"Not Started")</f>
        <v>22</v>
      </c>
      <c r="C16" s="50"/>
    </row>
    <row r="17" customFormat="false" ht="19.5" hidden="false" customHeight="true" outlineLevel="0" collapsed="false">
      <c r="A17" s="48" t="s">
        <v>233</v>
      </c>
      <c r="B17" s="49" t="n">
        <f aca="false">COUNTIF('Mobile Tests'!I2:I100,"Pass")</f>
        <v>0</v>
      </c>
      <c r="C17" s="48"/>
    </row>
    <row r="18" customFormat="false" ht="19.5" hidden="false" customHeight="true" outlineLevel="0" collapsed="false">
      <c r="A18" s="50" t="s">
        <v>719</v>
      </c>
      <c r="B18" s="51" t="n">
        <f aca="false">COUNTIF('Mobile Tests'!I2:I100,"Fail")</f>
        <v>0</v>
      </c>
      <c r="C18" s="50"/>
    </row>
    <row r="19" customFormat="false" ht="19.5" hidden="false" customHeight="true" outlineLevel="0" collapsed="false">
      <c r="A19" s="48"/>
      <c r="B19" s="49"/>
      <c r="C19" s="48"/>
    </row>
    <row r="20" customFormat="false" ht="19.5" hidden="false" customHeight="true" outlineLevel="0" collapsed="false">
      <c r="A20" s="46" t="s">
        <v>723</v>
      </c>
      <c r="B20" s="47"/>
      <c r="C20" s="46"/>
    </row>
    <row r="21" customFormat="false" ht="19.5" hidden="false" customHeight="true" outlineLevel="0" collapsed="false">
      <c r="A21" s="48" t="s">
        <v>724</v>
      </c>
      <c r="B21" s="49" t="n">
        <f aca="false">COUNTA('Scenario Tests — Seed 003'!A2:A100)</f>
        <v>10</v>
      </c>
      <c r="C21" s="48" t="s">
        <v>725</v>
      </c>
    </row>
    <row r="22" customFormat="false" ht="19.5" hidden="false" customHeight="true" outlineLevel="0" collapsed="false">
      <c r="A22" s="50" t="s">
        <v>726</v>
      </c>
      <c r="B22" s="51" t="n">
        <f aca="false">COUNTIF('Scenario Tests — Seed 003'!M2:M100,"Completed")+COUNTIF('Scenario Tests — Seed 003'!L2:L100,"Pass")</f>
        <v>2</v>
      </c>
      <c r="C22" s="50"/>
    </row>
    <row r="23" customFormat="false" ht="19.5" hidden="false" customHeight="true" outlineLevel="0" collapsed="false">
      <c r="A23" s="48" t="s">
        <v>311</v>
      </c>
      <c r="B23" s="49" t="n">
        <f aca="false">COUNTIF('Scenario Tests — Seed 003'!M2:M100,"Not Started")</f>
        <v>9</v>
      </c>
      <c r="C23" s="48"/>
    </row>
    <row r="24" customFormat="false" ht="19.5" hidden="false" customHeight="true" outlineLevel="0" collapsed="false">
      <c r="A24" s="50"/>
      <c r="B24" s="51"/>
      <c r="C24" s="50"/>
    </row>
    <row r="25" customFormat="false" ht="19.5" hidden="false" customHeight="true" outlineLevel="0" collapsed="false">
      <c r="A25" s="46" t="s">
        <v>727</v>
      </c>
      <c r="B25" s="47"/>
      <c r="C25" s="46"/>
    </row>
    <row r="26" customFormat="false" ht="19.5" hidden="false" customHeight="true" outlineLevel="0" collapsed="false">
      <c r="A26" s="50" t="s">
        <v>728</v>
      </c>
      <c r="B26" s="51" t="n">
        <f aca="false">COUNTA('API Tests — Session 6'!A2:A100)+COUNTA('Browser Tests'!A2:A100)+COUNTA('Mobile Tests'!A2:A100)+COUNTA('Scenario Tests — Seed 003'!A2:A100)</f>
        <v>77</v>
      </c>
      <c r="C26" s="50"/>
    </row>
    <row r="27" customFormat="false" ht="19.5" hidden="false" customHeight="true" outlineLevel="0" collapsed="false">
      <c r="A27" s="48" t="s">
        <v>729</v>
      </c>
      <c r="B27" s="49" t="n">
        <f aca="false">COUNTIF('Browser Tests'!J2:J100,"Not Started")+COUNTIF('Mobile Tests'!J2:J100,"Not Started")+COUNTIF('Scenario Tests — Seed 003'!M2:M100,"Not Started")</f>
        <v>55</v>
      </c>
      <c r="C27" s="48"/>
    </row>
    <row r="28" customFormat="false" ht="23.25" hidden="false" customHeight="true" outlineLevel="0" collapsed="false">
      <c r="A28" s="52" t="s">
        <v>730</v>
      </c>
      <c r="B28" s="52"/>
      <c r="C28" s="52"/>
    </row>
    <row r="29" customFormat="false" ht="15" hidden="false" customHeight="true" outlineLevel="0" collapsed="false">
      <c r="A29" s="53" t="s">
        <v>731</v>
      </c>
      <c r="B29" s="53" t="n">
        <v>10</v>
      </c>
      <c r="C29" s="53" t="s">
        <v>732</v>
      </c>
    </row>
    <row r="30" customFormat="false" ht="15" hidden="false" customHeight="true" outlineLevel="0" collapsed="false">
      <c r="A30" s="53" t="s">
        <v>733</v>
      </c>
      <c r="B30" s="53" t="n">
        <v>10</v>
      </c>
      <c r="C30" s="53" t="s">
        <v>734</v>
      </c>
    </row>
    <row r="31" customFormat="false" ht="23.25" hidden="false" customHeight="true" outlineLevel="0" collapsed="false">
      <c r="A31" s="53" t="s">
        <v>735</v>
      </c>
      <c r="B31" s="53" t="n">
        <v>1</v>
      </c>
      <c r="C31" s="53" t="s">
        <v>736</v>
      </c>
    </row>
    <row r="32" customFormat="false" ht="34.5" hidden="false" customHeight="true" outlineLevel="0" collapsed="false">
      <c r="A32" s="53" t="s">
        <v>737</v>
      </c>
      <c r="B32" s="53" t="n">
        <v>1</v>
      </c>
      <c r="C32" s="53" t="s">
        <v>738</v>
      </c>
    </row>
    <row r="33" customFormat="false" ht="15" hidden="false" customHeight="true" outlineLevel="0" collapsed="false">
      <c r="A33" s="17" t="s">
        <v>739</v>
      </c>
      <c r="B33" s="17"/>
      <c r="C33" s="17"/>
    </row>
    <row r="34" customFormat="false" ht="15" hidden="false" customHeight="true" outlineLevel="0" collapsed="false">
      <c r="A34" s="16" t="s">
        <v>740</v>
      </c>
      <c r="B34" s="16" t="n">
        <v>10</v>
      </c>
      <c r="C34" s="16" t="s">
        <v>741</v>
      </c>
    </row>
    <row r="35" customFormat="false" ht="15" hidden="false" customHeight="true" outlineLevel="0" collapsed="false">
      <c r="A35" s="17" t="s">
        <v>742</v>
      </c>
      <c r="B35" s="17" t="n">
        <v>10</v>
      </c>
      <c r="C35" s="17" t="s">
        <v>743</v>
      </c>
    </row>
    <row r="36" customFormat="false" ht="21.75" hidden="false" customHeight="true" outlineLevel="0" collapsed="false">
      <c r="A36" s="16" t="s">
        <v>744</v>
      </c>
      <c r="B36" s="16" t="n">
        <v>1</v>
      </c>
      <c r="C36" s="16" t="s">
        <v>745</v>
      </c>
    </row>
    <row r="37" customFormat="false" ht="15" hidden="false" customHeight="false" outlineLevel="0" collapsed="false">
      <c r="A37" s="17" t="s">
        <v>746</v>
      </c>
      <c r="B37" s="17" t="n">
        <v>13</v>
      </c>
      <c r="C37" s="17" t="s">
        <v>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42"/>
    <col collapsed="false" customWidth="true" hidden="false" outlineLevel="0" max="6" min="6" style="1" width="14"/>
    <col collapsed="false" customWidth="true" hidden="false" outlineLevel="0" max="8" min="7" style="1" width="18"/>
    <col collapsed="false" customWidth="true" hidden="false" outlineLevel="0" max="10" min="9" style="1" width="38"/>
    <col collapsed="false" customWidth="true" hidden="false" outlineLevel="0" max="11" min="11" style="1" width="36"/>
    <col collapsed="false" customWidth="true" hidden="false" outlineLevel="0" max="12" min="12" style="1" width="44"/>
    <col collapsed="false" customWidth="true" hidden="false" outlineLevel="0" max="13" min="13" style="1" width="10"/>
    <col collapsed="false" customWidth="true" hidden="false" outlineLevel="0" max="14" min="14" style="1" width="12"/>
  </cols>
  <sheetData>
    <row r="1" customFormat="false" ht="21.75" hidden="false" customHeight="true" outlineLevel="0" collapsed="false">
      <c r="A1" s="54" t="s">
        <v>748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customFormat="false" ht="36" hidden="false" customHeight="true" outlineLevel="0" collapsed="false">
      <c r="A2" s="18" t="s">
        <v>299</v>
      </c>
      <c r="B2" s="18" t="s">
        <v>594</v>
      </c>
      <c r="C2" s="18" t="s">
        <v>749</v>
      </c>
      <c r="D2" s="18" t="s">
        <v>124</v>
      </c>
      <c r="E2" s="18" t="s">
        <v>750</v>
      </c>
      <c r="F2" s="18" t="s">
        <v>751</v>
      </c>
      <c r="G2" s="18" t="s">
        <v>595</v>
      </c>
      <c r="H2" s="18" t="s">
        <v>752</v>
      </c>
      <c r="I2" s="18" t="s">
        <v>753</v>
      </c>
      <c r="J2" s="18" t="s">
        <v>754</v>
      </c>
      <c r="K2" s="18" t="s">
        <v>755</v>
      </c>
      <c r="L2" s="18" t="s">
        <v>756</v>
      </c>
      <c r="M2" s="18" t="s">
        <v>215</v>
      </c>
      <c r="N2" s="18" t="s">
        <v>6</v>
      </c>
    </row>
    <row r="3" customFormat="false" ht="54.75" hidden="false" customHeight="true" outlineLevel="0" collapsed="false">
      <c r="A3" s="39" t="s">
        <v>757</v>
      </c>
      <c r="B3" s="39" t="s">
        <v>758</v>
      </c>
      <c r="C3" s="39" t="s">
        <v>759</v>
      </c>
      <c r="D3" s="39" t="s">
        <v>132</v>
      </c>
      <c r="E3" s="39" t="s">
        <v>760</v>
      </c>
      <c r="F3" s="39" t="s">
        <v>761</v>
      </c>
      <c r="G3" s="39" t="s">
        <v>762</v>
      </c>
      <c r="H3" s="39" t="s">
        <v>763</v>
      </c>
      <c r="I3" s="39" t="s">
        <v>764</v>
      </c>
      <c r="J3" s="39" t="s">
        <v>760</v>
      </c>
      <c r="K3" s="39" t="s">
        <v>765</v>
      </c>
      <c r="L3" s="39" t="s">
        <v>766</v>
      </c>
      <c r="M3" s="39"/>
      <c r="N3" s="39" t="s">
        <v>311</v>
      </c>
    </row>
    <row r="4" customFormat="false" ht="54.75" hidden="false" customHeight="true" outlineLevel="0" collapsed="false">
      <c r="A4" s="40" t="s">
        <v>767</v>
      </c>
      <c r="B4" s="40" t="s">
        <v>768</v>
      </c>
      <c r="C4" s="40" t="s">
        <v>131</v>
      </c>
      <c r="D4" s="40" t="s">
        <v>132</v>
      </c>
      <c r="E4" s="40" t="s">
        <v>769</v>
      </c>
      <c r="F4" s="40" t="s">
        <v>770</v>
      </c>
      <c r="G4" s="40" t="s">
        <v>771</v>
      </c>
      <c r="H4" s="40" t="s">
        <v>772</v>
      </c>
      <c r="I4" s="40" t="s">
        <v>773</v>
      </c>
      <c r="J4" s="40" t="s">
        <v>774</v>
      </c>
      <c r="K4" s="40" t="s">
        <v>775</v>
      </c>
      <c r="L4" s="40" t="s">
        <v>776</v>
      </c>
      <c r="M4" s="40"/>
      <c r="N4" s="40" t="s">
        <v>311</v>
      </c>
    </row>
    <row r="5" customFormat="false" ht="54.75" hidden="false" customHeight="true" outlineLevel="0" collapsed="false">
      <c r="A5" s="39" t="s">
        <v>777</v>
      </c>
      <c r="B5" s="39" t="s">
        <v>778</v>
      </c>
      <c r="C5" s="39" t="s">
        <v>139</v>
      </c>
      <c r="D5" s="39" t="s">
        <v>132</v>
      </c>
      <c r="E5" s="39" t="s">
        <v>779</v>
      </c>
      <c r="F5" s="39" t="s">
        <v>770</v>
      </c>
      <c r="G5" s="39" t="s">
        <v>771</v>
      </c>
      <c r="H5" s="39" t="s">
        <v>772</v>
      </c>
      <c r="I5" s="39" t="s">
        <v>780</v>
      </c>
      <c r="J5" s="39" t="s">
        <v>781</v>
      </c>
      <c r="K5" s="39" t="s">
        <v>775</v>
      </c>
      <c r="L5" s="39" t="s">
        <v>782</v>
      </c>
      <c r="M5" s="39"/>
      <c r="N5" s="39" t="s">
        <v>311</v>
      </c>
    </row>
    <row r="6" customFormat="false" ht="54.75" hidden="false" customHeight="true" outlineLevel="0" collapsed="false">
      <c r="A6" s="40" t="s">
        <v>783</v>
      </c>
      <c r="B6" s="40" t="s">
        <v>784</v>
      </c>
      <c r="C6" s="40" t="s">
        <v>143</v>
      </c>
      <c r="D6" s="40" t="s">
        <v>132</v>
      </c>
      <c r="E6" s="40" t="s">
        <v>785</v>
      </c>
      <c r="F6" s="40" t="s">
        <v>770</v>
      </c>
      <c r="G6" s="40" t="s">
        <v>786</v>
      </c>
      <c r="H6" s="40" t="s">
        <v>787</v>
      </c>
      <c r="I6" s="40" t="s">
        <v>788</v>
      </c>
      <c r="J6" s="40" t="s">
        <v>789</v>
      </c>
      <c r="K6" s="40" t="s">
        <v>790</v>
      </c>
      <c r="L6" s="40" t="s">
        <v>791</v>
      </c>
      <c r="M6" s="40"/>
      <c r="N6" s="40" t="s">
        <v>311</v>
      </c>
    </row>
    <row r="7" customFormat="false" ht="54.75" hidden="false" customHeight="true" outlineLevel="0" collapsed="false">
      <c r="A7" s="39" t="s">
        <v>792</v>
      </c>
      <c r="B7" s="39" t="s">
        <v>793</v>
      </c>
      <c r="C7" s="39" t="s">
        <v>131</v>
      </c>
      <c r="D7" s="39" t="s">
        <v>132</v>
      </c>
      <c r="E7" s="39" t="s">
        <v>794</v>
      </c>
      <c r="F7" s="39" t="s">
        <v>770</v>
      </c>
      <c r="G7" s="39" t="s">
        <v>795</v>
      </c>
      <c r="H7" s="39" t="s">
        <v>796</v>
      </c>
      <c r="I7" s="39" t="s">
        <v>797</v>
      </c>
      <c r="J7" s="39" t="s">
        <v>798</v>
      </c>
      <c r="K7" s="39" t="s">
        <v>799</v>
      </c>
      <c r="L7" s="39" t="s">
        <v>800</v>
      </c>
      <c r="M7" s="39"/>
      <c r="N7" s="39" t="s">
        <v>311</v>
      </c>
    </row>
    <row r="8" customFormat="false" ht="54.75" hidden="false" customHeight="true" outlineLevel="0" collapsed="false">
      <c r="A8" s="40" t="s">
        <v>801</v>
      </c>
      <c r="B8" s="40" t="s">
        <v>802</v>
      </c>
      <c r="C8" s="40" t="s">
        <v>131</v>
      </c>
      <c r="D8" s="40" t="s">
        <v>132</v>
      </c>
      <c r="E8" s="40" t="s">
        <v>803</v>
      </c>
      <c r="F8" s="40" t="s">
        <v>770</v>
      </c>
      <c r="G8" s="40" t="s">
        <v>804</v>
      </c>
      <c r="H8" s="40" t="s">
        <v>805</v>
      </c>
      <c r="I8" s="40" t="s">
        <v>806</v>
      </c>
      <c r="J8" s="40" t="s">
        <v>807</v>
      </c>
      <c r="K8" s="40" t="s">
        <v>808</v>
      </c>
      <c r="L8" s="40" t="s">
        <v>809</v>
      </c>
      <c r="M8" s="40"/>
      <c r="N8" s="40" t="s">
        <v>311</v>
      </c>
    </row>
    <row r="9" customFormat="false" ht="54.75" hidden="false" customHeight="true" outlineLevel="0" collapsed="false">
      <c r="A9" s="39" t="s">
        <v>810</v>
      </c>
      <c r="B9" s="39" t="s">
        <v>811</v>
      </c>
      <c r="C9" s="39" t="s">
        <v>131</v>
      </c>
      <c r="D9" s="39" t="s">
        <v>132</v>
      </c>
      <c r="E9" s="39" t="s">
        <v>812</v>
      </c>
      <c r="F9" s="39" t="s">
        <v>770</v>
      </c>
      <c r="G9" s="39" t="s">
        <v>813</v>
      </c>
      <c r="H9" s="39" t="s">
        <v>814</v>
      </c>
      <c r="I9" s="39" t="s">
        <v>815</v>
      </c>
      <c r="J9" s="39" t="s">
        <v>816</v>
      </c>
      <c r="K9" s="39" t="s">
        <v>817</v>
      </c>
      <c r="L9" s="39" t="s">
        <v>818</v>
      </c>
      <c r="M9" s="39"/>
      <c r="N9" s="39" t="s">
        <v>311</v>
      </c>
    </row>
    <row r="10" customFormat="false" ht="54.75" hidden="false" customHeight="true" outlineLevel="0" collapsed="false">
      <c r="A10" s="40" t="s">
        <v>819</v>
      </c>
      <c r="B10" s="40" t="s">
        <v>820</v>
      </c>
      <c r="C10" s="40" t="s">
        <v>139</v>
      </c>
      <c r="D10" s="40" t="s">
        <v>132</v>
      </c>
      <c r="E10" s="40" t="s">
        <v>821</v>
      </c>
      <c r="F10" s="40" t="s">
        <v>770</v>
      </c>
      <c r="G10" s="40" t="s">
        <v>822</v>
      </c>
      <c r="H10" s="40" t="s">
        <v>787</v>
      </c>
      <c r="I10" s="40" t="s">
        <v>823</v>
      </c>
      <c r="J10" s="40" t="s">
        <v>824</v>
      </c>
      <c r="K10" s="40" t="s">
        <v>825</v>
      </c>
      <c r="L10" s="40" t="s">
        <v>826</v>
      </c>
      <c r="M10" s="40"/>
      <c r="N10" s="40" t="s">
        <v>311</v>
      </c>
    </row>
    <row r="11" customFormat="false" ht="54.75" hidden="false" customHeight="true" outlineLevel="0" collapsed="false">
      <c r="A11" s="39" t="s">
        <v>827</v>
      </c>
      <c r="B11" s="39" t="s">
        <v>828</v>
      </c>
      <c r="C11" s="39" t="s">
        <v>131</v>
      </c>
      <c r="D11" s="39" t="s">
        <v>132</v>
      </c>
      <c r="E11" s="39" t="s">
        <v>829</v>
      </c>
      <c r="F11" s="39" t="s">
        <v>770</v>
      </c>
      <c r="G11" s="39" t="s">
        <v>830</v>
      </c>
      <c r="H11" s="39" t="s">
        <v>831</v>
      </c>
      <c r="I11" s="39" t="s">
        <v>832</v>
      </c>
      <c r="J11" s="39" t="s">
        <v>832</v>
      </c>
      <c r="K11" s="39" t="s">
        <v>833</v>
      </c>
      <c r="L11" s="39" t="s">
        <v>834</v>
      </c>
      <c r="M11" s="39"/>
      <c r="N11" s="39" t="s">
        <v>311</v>
      </c>
    </row>
    <row r="12" customFormat="false" ht="54.75" hidden="false" customHeight="true" outlineLevel="0" collapsed="false">
      <c r="A12" s="40" t="s">
        <v>835</v>
      </c>
      <c r="B12" s="40" t="s">
        <v>836</v>
      </c>
      <c r="C12" s="40" t="s">
        <v>148</v>
      </c>
      <c r="D12" s="40" t="s">
        <v>132</v>
      </c>
      <c r="E12" s="40" t="s">
        <v>837</v>
      </c>
      <c r="F12" s="40" t="s">
        <v>770</v>
      </c>
      <c r="G12" s="40" t="s">
        <v>838</v>
      </c>
      <c r="H12" s="40" t="s">
        <v>839</v>
      </c>
      <c r="I12" s="40" t="s">
        <v>234</v>
      </c>
      <c r="J12" s="40" t="s">
        <v>234</v>
      </c>
      <c r="K12" s="40" t="s">
        <v>840</v>
      </c>
      <c r="L12" s="40" t="s">
        <v>841</v>
      </c>
      <c r="M12" s="40"/>
      <c r="N12" s="40" t="s">
        <v>311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36"/>
    <col collapsed="false" customWidth="true" hidden="false" outlineLevel="0" max="4" min="4" style="1" width="26"/>
    <col collapsed="false" customWidth="true" hidden="false" outlineLevel="0" max="5" min="5" style="1" width="24"/>
    <col collapsed="false" customWidth="true" hidden="false" outlineLevel="0" max="6" min="6" style="1" width="42"/>
    <col collapsed="false" customWidth="true" hidden="false" outlineLevel="0" max="7" min="7" style="1" width="38"/>
    <col collapsed="false" customWidth="true" hidden="false" outlineLevel="0" max="8" min="8" style="1" width="22"/>
    <col collapsed="false" customWidth="true" hidden="false" outlineLevel="0" max="10" min="9" style="1" width="10"/>
    <col collapsed="false" customWidth="true" hidden="false" outlineLevel="0" max="11" min="11" style="1" width="24"/>
  </cols>
  <sheetData>
    <row r="1" customFormat="false" ht="27.75" hidden="false" customHeight="true" outlineLevel="0" collapsed="false">
      <c r="A1" s="55" t="s">
        <v>299</v>
      </c>
      <c r="B1" s="55" t="s">
        <v>300</v>
      </c>
      <c r="C1" s="55" t="s">
        <v>210</v>
      </c>
      <c r="D1" s="55" t="s">
        <v>301</v>
      </c>
      <c r="E1" s="55" t="s">
        <v>212</v>
      </c>
      <c r="F1" s="55" t="s">
        <v>302</v>
      </c>
      <c r="G1" s="55" t="s">
        <v>303</v>
      </c>
      <c r="H1" s="55" t="s">
        <v>304</v>
      </c>
      <c r="I1" s="55" t="s">
        <v>215</v>
      </c>
      <c r="J1" s="55" t="s">
        <v>6</v>
      </c>
      <c r="K1" s="55" t="s">
        <v>7</v>
      </c>
    </row>
    <row r="2" customFormat="false" ht="42.75" hidden="false" customHeight="true" outlineLevel="0" collapsed="false">
      <c r="A2" s="16" t="s">
        <v>842</v>
      </c>
      <c r="B2" s="16" t="s">
        <v>843</v>
      </c>
      <c r="C2" s="16" t="s">
        <v>844</v>
      </c>
      <c r="D2" s="16" t="s">
        <v>845</v>
      </c>
      <c r="E2" s="16" t="s">
        <v>193</v>
      </c>
      <c r="F2" s="16" t="s">
        <v>846</v>
      </c>
      <c r="G2" s="16" t="s">
        <v>847</v>
      </c>
      <c r="H2" s="16"/>
      <c r="I2" s="16"/>
      <c r="J2" s="16" t="s">
        <v>18</v>
      </c>
      <c r="K2" s="16"/>
    </row>
    <row r="3" customFormat="false" ht="21.75" hidden="false" customHeight="true" outlineLevel="0" collapsed="false">
      <c r="A3" s="17" t="s">
        <v>848</v>
      </c>
      <c r="B3" s="17" t="s">
        <v>849</v>
      </c>
      <c r="C3" s="17" t="s">
        <v>850</v>
      </c>
      <c r="D3" s="17" t="s">
        <v>845</v>
      </c>
      <c r="E3" s="17" t="s">
        <v>193</v>
      </c>
      <c r="F3" s="17" t="s">
        <v>851</v>
      </c>
      <c r="G3" s="17" t="s">
        <v>852</v>
      </c>
      <c r="H3" s="17"/>
      <c r="I3" s="17"/>
      <c r="J3" s="17" t="s">
        <v>18</v>
      </c>
      <c r="K3" s="17"/>
    </row>
    <row r="4" customFormat="false" ht="32.25" hidden="false" customHeight="true" outlineLevel="0" collapsed="false">
      <c r="A4" s="16" t="s">
        <v>853</v>
      </c>
      <c r="B4" s="16" t="s">
        <v>854</v>
      </c>
      <c r="C4" s="16" t="s">
        <v>855</v>
      </c>
      <c r="D4" s="16" t="s">
        <v>845</v>
      </c>
      <c r="E4" s="16" t="s">
        <v>193</v>
      </c>
      <c r="F4" s="16" t="s">
        <v>856</v>
      </c>
      <c r="G4" s="16" t="s">
        <v>857</v>
      </c>
      <c r="H4" s="16"/>
      <c r="I4" s="16"/>
      <c r="J4" s="16" t="s">
        <v>18</v>
      </c>
      <c r="K4" s="16"/>
    </row>
    <row r="5" customFormat="false" ht="32.25" hidden="false" customHeight="true" outlineLevel="0" collapsed="false">
      <c r="A5" s="17" t="s">
        <v>858</v>
      </c>
      <c r="B5" s="17" t="s">
        <v>859</v>
      </c>
      <c r="C5" s="17" t="s">
        <v>860</v>
      </c>
      <c r="D5" s="17" t="s">
        <v>845</v>
      </c>
      <c r="E5" s="17" t="s">
        <v>193</v>
      </c>
      <c r="F5" s="17" t="s">
        <v>861</v>
      </c>
      <c r="G5" s="17" t="s">
        <v>862</v>
      </c>
      <c r="H5" s="17"/>
      <c r="I5" s="17"/>
      <c r="J5" s="17" t="s">
        <v>18</v>
      </c>
      <c r="K5" s="17"/>
    </row>
    <row r="6" customFormat="false" ht="32.25" hidden="false" customHeight="true" outlineLevel="0" collapsed="false">
      <c r="A6" s="16" t="s">
        <v>863</v>
      </c>
      <c r="B6" s="16" t="s">
        <v>864</v>
      </c>
      <c r="C6" s="16" t="s">
        <v>865</v>
      </c>
      <c r="D6" s="16" t="s">
        <v>845</v>
      </c>
      <c r="E6" s="16" t="s">
        <v>193</v>
      </c>
      <c r="F6" s="16" t="s">
        <v>866</v>
      </c>
      <c r="G6" s="16" t="s">
        <v>867</v>
      </c>
      <c r="H6" s="16"/>
      <c r="I6" s="16"/>
      <c r="J6" s="16" t="s">
        <v>18</v>
      </c>
      <c r="K6" s="16" t="s">
        <v>868</v>
      </c>
    </row>
    <row r="7" customFormat="false" ht="32.25" hidden="false" customHeight="true" outlineLevel="0" collapsed="false">
      <c r="A7" s="17" t="s">
        <v>869</v>
      </c>
      <c r="B7" s="17" t="s">
        <v>870</v>
      </c>
      <c r="C7" s="17" t="s">
        <v>871</v>
      </c>
      <c r="D7" s="17" t="s">
        <v>845</v>
      </c>
      <c r="E7" s="17" t="s">
        <v>193</v>
      </c>
      <c r="F7" s="17" t="s">
        <v>872</v>
      </c>
      <c r="G7" s="17" t="s">
        <v>873</v>
      </c>
      <c r="H7" s="17"/>
      <c r="I7" s="17"/>
      <c r="J7" s="17" t="s">
        <v>18</v>
      </c>
      <c r="K7" s="17"/>
    </row>
    <row r="8" customFormat="false" ht="42.75" hidden="false" customHeight="true" outlineLevel="0" collapsed="false">
      <c r="A8" s="16" t="s">
        <v>874</v>
      </c>
      <c r="B8" s="16" t="s">
        <v>875</v>
      </c>
      <c r="C8" s="16" t="s">
        <v>876</v>
      </c>
      <c r="D8" s="16" t="s">
        <v>845</v>
      </c>
      <c r="E8" s="16" t="s">
        <v>193</v>
      </c>
      <c r="F8" s="16" t="s">
        <v>877</v>
      </c>
      <c r="G8" s="16" t="s">
        <v>878</v>
      </c>
      <c r="H8" s="16"/>
      <c r="I8" s="16"/>
      <c r="J8" s="16" t="s">
        <v>18</v>
      </c>
      <c r="K8" s="16"/>
    </row>
    <row r="9" customFormat="false" ht="42.75" hidden="false" customHeight="true" outlineLevel="0" collapsed="false">
      <c r="A9" s="17" t="s">
        <v>879</v>
      </c>
      <c r="B9" s="17" t="s">
        <v>880</v>
      </c>
      <c r="C9" s="17" t="s">
        <v>881</v>
      </c>
      <c r="D9" s="17" t="s">
        <v>845</v>
      </c>
      <c r="E9" s="17" t="s">
        <v>193</v>
      </c>
      <c r="F9" s="17" t="s">
        <v>882</v>
      </c>
      <c r="G9" s="17" t="s">
        <v>883</v>
      </c>
      <c r="H9" s="17"/>
      <c r="I9" s="17"/>
      <c r="J9" s="17" t="s">
        <v>18</v>
      </c>
      <c r="K9" s="17" t="s">
        <v>884</v>
      </c>
    </row>
    <row r="10" customFormat="false" ht="21.75" hidden="false" customHeight="true" outlineLevel="0" collapsed="false">
      <c r="A10" s="16" t="s">
        <v>885</v>
      </c>
      <c r="B10" s="16" t="s">
        <v>886</v>
      </c>
      <c r="C10" s="16" t="s">
        <v>887</v>
      </c>
      <c r="D10" s="16" t="s">
        <v>845</v>
      </c>
      <c r="E10" s="16" t="s">
        <v>131</v>
      </c>
      <c r="F10" s="16" t="s">
        <v>888</v>
      </c>
      <c r="G10" s="16" t="s">
        <v>889</v>
      </c>
      <c r="H10" s="16"/>
      <c r="I10" s="16"/>
      <c r="J10" s="16" t="s">
        <v>18</v>
      </c>
      <c r="K10" s="16"/>
    </row>
    <row r="11" customFormat="false" ht="42.75" hidden="false" customHeight="true" outlineLevel="0" collapsed="false">
      <c r="A11" s="17" t="s">
        <v>890</v>
      </c>
      <c r="B11" s="17" t="s">
        <v>891</v>
      </c>
      <c r="C11" s="17" t="s">
        <v>892</v>
      </c>
      <c r="D11" s="17" t="s">
        <v>845</v>
      </c>
      <c r="E11" s="17" t="s">
        <v>193</v>
      </c>
      <c r="F11" s="17" t="s">
        <v>893</v>
      </c>
      <c r="G11" s="17" t="s">
        <v>894</v>
      </c>
      <c r="H11" s="17"/>
      <c r="I11" s="17"/>
      <c r="J11" s="17" t="s">
        <v>18</v>
      </c>
      <c r="K1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36"/>
    <col collapsed="false" customWidth="true" hidden="false" outlineLevel="0" max="4" min="4" style="1" width="26"/>
    <col collapsed="false" customWidth="true" hidden="false" outlineLevel="0" max="5" min="5" style="1" width="24"/>
    <col collapsed="false" customWidth="true" hidden="false" outlineLevel="0" max="6" min="6" style="1" width="42"/>
    <col collapsed="false" customWidth="true" hidden="false" outlineLevel="0" max="7" min="7" style="1" width="38"/>
    <col collapsed="false" customWidth="true" hidden="false" outlineLevel="0" max="8" min="8" style="1" width="22"/>
    <col collapsed="false" customWidth="true" hidden="false" outlineLevel="0" max="10" min="9" style="1" width="10"/>
    <col collapsed="false" customWidth="true" hidden="false" outlineLevel="0" max="11" min="11" style="1" width="24"/>
  </cols>
  <sheetData>
    <row r="1" customFormat="false" ht="27.75" hidden="false" customHeight="true" outlineLevel="0" collapsed="false">
      <c r="A1" s="55" t="s">
        <v>299</v>
      </c>
      <c r="B1" s="55" t="s">
        <v>300</v>
      </c>
      <c r="C1" s="55" t="s">
        <v>210</v>
      </c>
      <c r="D1" s="55" t="s">
        <v>301</v>
      </c>
      <c r="E1" s="55" t="s">
        <v>212</v>
      </c>
      <c r="F1" s="55" t="s">
        <v>302</v>
      </c>
      <c r="G1" s="55" t="s">
        <v>303</v>
      </c>
      <c r="H1" s="55" t="s">
        <v>304</v>
      </c>
      <c r="I1" s="55" t="s">
        <v>215</v>
      </c>
      <c r="J1" s="55" t="s">
        <v>6</v>
      </c>
      <c r="K1" s="55" t="s">
        <v>7</v>
      </c>
    </row>
    <row r="2" customFormat="false" ht="32.25" hidden="false" customHeight="true" outlineLevel="0" collapsed="false">
      <c r="A2" s="16" t="s">
        <v>895</v>
      </c>
      <c r="B2" s="16" t="s">
        <v>896</v>
      </c>
      <c r="C2" s="16" t="s">
        <v>897</v>
      </c>
      <c r="D2" s="16" t="s">
        <v>898</v>
      </c>
      <c r="E2" s="16" t="s">
        <v>176</v>
      </c>
      <c r="F2" s="16" t="s">
        <v>899</v>
      </c>
      <c r="G2" s="16" t="s">
        <v>900</v>
      </c>
      <c r="H2" s="16"/>
      <c r="I2" s="16"/>
      <c r="J2" s="16" t="s">
        <v>18</v>
      </c>
      <c r="K2" s="16"/>
    </row>
    <row r="3" customFormat="false" ht="32.25" hidden="false" customHeight="true" outlineLevel="0" collapsed="false">
      <c r="A3" s="17" t="s">
        <v>901</v>
      </c>
      <c r="B3" s="17" t="s">
        <v>902</v>
      </c>
      <c r="C3" s="17" t="s">
        <v>903</v>
      </c>
      <c r="D3" s="17" t="s">
        <v>898</v>
      </c>
      <c r="E3" s="17" t="s">
        <v>185</v>
      </c>
      <c r="F3" s="17" t="s">
        <v>904</v>
      </c>
      <c r="G3" s="17" t="s">
        <v>905</v>
      </c>
      <c r="H3" s="17"/>
      <c r="I3" s="17"/>
      <c r="J3" s="17" t="s">
        <v>18</v>
      </c>
      <c r="K3" s="17"/>
    </row>
    <row r="4" customFormat="false" ht="32.25" hidden="false" customHeight="true" outlineLevel="0" collapsed="false">
      <c r="A4" s="16" t="s">
        <v>906</v>
      </c>
      <c r="B4" s="16" t="s">
        <v>907</v>
      </c>
      <c r="C4" s="16" t="s">
        <v>908</v>
      </c>
      <c r="D4" s="16" t="s">
        <v>898</v>
      </c>
      <c r="E4" s="16" t="s">
        <v>189</v>
      </c>
      <c r="F4" s="16" t="s">
        <v>909</v>
      </c>
      <c r="G4" s="16" t="s">
        <v>910</v>
      </c>
      <c r="H4" s="16"/>
      <c r="I4" s="16"/>
      <c r="J4" s="16" t="s">
        <v>18</v>
      </c>
      <c r="K4" s="16" t="s">
        <v>911</v>
      </c>
    </row>
    <row r="5" customFormat="false" ht="42.75" hidden="false" customHeight="true" outlineLevel="0" collapsed="false">
      <c r="A5" s="17" t="s">
        <v>912</v>
      </c>
      <c r="B5" s="17" t="s">
        <v>913</v>
      </c>
      <c r="C5" s="17" t="s">
        <v>914</v>
      </c>
      <c r="D5" s="17" t="s">
        <v>898</v>
      </c>
      <c r="E5" s="17" t="s">
        <v>176</v>
      </c>
      <c r="F5" s="17" t="s">
        <v>915</v>
      </c>
      <c r="G5" s="17" t="s">
        <v>916</v>
      </c>
      <c r="H5" s="17"/>
      <c r="I5" s="17"/>
      <c r="J5" s="17" t="s">
        <v>18</v>
      </c>
      <c r="K5" s="17"/>
    </row>
    <row r="6" customFormat="false" ht="32.25" hidden="false" customHeight="true" outlineLevel="0" collapsed="false">
      <c r="A6" s="16" t="s">
        <v>917</v>
      </c>
      <c r="B6" s="16" t="s">
        <v>918</v>
      </c>
      <c r="C6" s="16" t="s">
        <v>919</v>
      </c>
      <c r="D6" s="16" t="s">
        <v>898</v>
      </c>
      <c r="E6" s="16" t="s">
        <v>176</v>
      </c>
      <c r="F6" s="16" t="s">
        <v>920</v>
      </c>
      <c r="G6" s="16" t="s">
        <v>921</v>
      </c>
      <c r="H6" s="16"/>
      <c r="I6" s="16"/>
      <c r="J6" s="16" t="s">
        <v>18</v>
      </c>
      <c r="K6" s="16"/>
    </row>
    <row r="7" customFormat="false" ht="32.25" hidden="false" customHeight="true" outlineLevel="0" collapsed="false">
      <c r="A7" s="17" t="s">
        <v>922</v>
      </c>
      <c r="B7" s="17" t="s">
        <v>923</v>
      </c>
      <c r="C7" s="17" t="s">
        <v>924</v>
      </c>
      <c r="D7" s="17" t="s">
        <v>898</v>
      </c>
      <c r="E7" s="17" t="s">
        <v>176</v>
      </c>
      <c r="F7" s="17" t="s">
        <v>925</v>
      </c>
      <c r="G7" s="17" t="s">
        <v>926</v>
      </c>
      <c r="H7" s="17"/>
      <c r="I7" s="17"/>
      <c r="J7" s="17" t="s">
        <v>18</v>
      </c>
      <c r="K7" s="17"/>
    </row>
    <row r="8" customFormat="false" ht="21.75" hidden="false" customHeight="true" outlineLevel="0" collapsed="false">
      <c r="A8" s="16" t="s">
        <v>927</v>
      </c>
      <c r="B8" s="16" t="s">
        <v>928</v>
      </c>
      <c r="C8" s="16" t="s">
        <v>929</v>
      </c>
      <c r="D8" s="16" t="s">
        <v>898</v>
      </c>
      <c r="E8" s="16" t="s">
        <v>176</v>
      </c>
      <c r="F8" s="16" t="s">
        <v>930</v>
      </c>
      <c r="G8" s="16" t="s">
        <v>931</v>
      </c>
      <c r="H8" s="16"/>
      <c r="I8" s="16"/>
      <c r="J8" s="16" t="s">
        <v>18</v>
      </c>
      <c r="K8" s="16"/>
    </row>
    <row r="9" customFormat="false" ht="21.75" hidden="false" customHeight="true" outlineLevel="0" collapsed="false">
      <c r="A9" s="17" t="s">
        <v>932</v>
      </c>
      <c r="B9" s="17" t="s">
        <v>933</v>
      </c>
      <c r="C9" s="17" t="s">
        <v>934</v>
      </c>
      <c r="D9" s="17" t="s">
        <v>898</v>
      </c>
      <c r="E9" s="17" t="s">
        <v>176</v>
      </c>
      <c r="F9" s="17" t="s">
        <v>935</v>
      </c>
      <c r="G9" s="17" t="s">
        <v>936</v>
      </c>
      <c r="H9" s="17"/>
      <c r="I9" s="17"/>
      <c r="J9" s="17" t="s">
        <v>18</v>
      </c>
      <c r="K9" s="17"/>
    </row>
    <row r="10" customFormat="false" ht="21.75" hidden="false" customHeight="true" outlineLevel="0" collapsed="false">
      <c r="A10" s="16" t="s">
        <v>937</v>
      </c>
      <c r="B10" s="16" t="s">
        <v>938</v>
      </c>
      <c r="C10" s="16" t="s">
        <v>939</v>
      </c>
      <c r="D10" s="16" t="s">
        <v>898</v>
      </c>
      <c r="E10" s="16" t="s">
        <v>148</v>
      </c>
      <c r="F10" s="16" t="s">
        <v>940</v>
      </c>
      <c r="G10" s="16" t="s">
        <v>941</v>
      </c>
      <c r="H10" s="16"/>
      <c r="I10" s="16"/>
      <c r="J10" s="16" t="s">
        <v>18</v>
      </c>
      <c r="K10" s="16"/>
    </row>
    <row r="11" customFormat="false" ht="32.25" hidden="false" customHeight="true" outlineLevel="0" collapsed="false">
      <c r="A11" s="17" t="s">
        <v>942</v>
      </c>
      <c r="B11" s="17" t="s">
        <v>943</v>
      </c>
      <c r="C11" s="17" t="s">
        <v>944</v>
      </c>
      <c r="D11" s="17" t="s">
        <v>178</v>
      </c>
      <c r="E11" s="17" t="s">
        <v>176</v>
      </c>
      <c r="F11" s="17" t="s">
        <v>945</v>
      </c>
      <c r="G11" s="17" t="s">
        <v>946</v>
      </c>
      <c r="H11" s="17"/>
      <c r="I11" s="17"/>
      <c r="J11" s="17" t="s">
        <v>18</v>
      </c>
      <c r="K1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44"/>
    <col collapsed="false" customWidth="true" hidden="false" outlineLevel="0" max="7" min="7" style="0" width="42"/>
    <col collapsed="false" customWidth="true" hidden="false" outlineLevel="0" max="8" min="8" style="0" width="22"/>
    <col collapsed="false" customWidth="true" hidden="false" outlineLevel="0" max="10" min="9" style="0" width="10"/>
    <col collapsed="false" customWidth="true" hidden="false" outlineLevel="0" max="11" min="11" style="0" width="36"/>
  </cols>
  <sheetData>
    <row r="1" customFormat="false" ht="27.75" hidden="false" customHeight="true" outlineLevel="0" collapsed="false">
      <c r="A1" s="55" t="s">
        <v>299</v>
      </c>
      <c r="B1" s="55" t="s">
        <v>300</v>
      </c>
      <c r="C1" s="55" t="s">
        <v>210</v>
      </c>
      <c r="D1" s="55" t="s">
        <v>947</v>
      </c>
      <c r="E1" s="55" t="s">
        <v>212</v>
      </c>
      <c r="F1" s="55" t="s">
        <v>302</v>
      </c>
      <c r="G1" s="55" t="s">
        <v>303</v>
      </c>
      <c r="H1" s="55" t="s">
        <v>304</v>
      </c>
      <c r="I1" s="55" t="s">
        <v>215</v>
      </c>
      <c r="J1" s="55" t="s">
        <v>6</v>
      </c>
      <c r="K1" s="55" t="s">
        <v>7</v>
      </c>
    </row>
    <row r="2" customFormat="false" ht="22.35" hidden="false" customHeight="false" outlineLevel="0" collapsed="false">
      <c r="A2" s="16" t="s">
        <v>948</v>
      </c>
      <c r="B2" s="16" t="s">
        <v>949</v>
      </c>
      <c r="C2" s="16" t="s">
        <v>950</v>
      </c>
      <c r="D2" s="16" t="s">
        <v>951</v>
      </c>
      <c r="E2" s="16" t="s">
        <v>131</v>
      </c>
      <c r="F2" s="16" t="s">
        <v>952</v>
      </c>
      <c r="G2" s="16" t="s">
        <v>953</v>
      </c>
      <c r="H2" s="16"/>
      <c r="I2" s="16"/>
      <c r="J2" s="16" t="s">
        <v>18</v>
      </c>
      <c r="K2" s="16" t="s">
        <v>954</v>
      </c>
    </row>
    <row r="3" customFormat="false" ht="22.35" hidden="false" customHeight="false" outlineLevel="0" collapsed="false">
      <c r="A3" s="17" t="s">
        <v>955</v>
      </c>
      <c r="B3" s="17" t="s">
        <v>956</v>
      </c>
      <c r="C3" s="17" t="s">
        <v>957</v>
      </c>
      <c r="D3" s="17" t="s">
        <v>951</v>
      </c>
      <c r="E3" s="17" t="s">
        <v>131</v>
      </c>
      <c r="F3" s="17" t="s">
        <v>958</v>
      </c>
      <c r="G3" s="17" t="s">
        <v>959</v>
      </c>
      <c r="H3" s="17"/>
      <c r="I3" s="17"/>
      <c r="J3" s="17" t="s">
        <v>18</v>
      </c>
      <c r="K3" s="17"/>
    </row>
    <row r="4" customFormat="false" ht="32.8" hidden="false" customHeight="false" outlineLevel="0" collapsed="false">
      <c r="A4" s="16" t="s">
        <v>960</v>
      </c>
      <c r="B4" s="16" t="s">
        <v>961</v>
      </c>
      <c r="C4" s="16" t="s">
        <v>962</v>
      </c>
      <c r="D4" s="16" t="s">
        <v>951</v>
      </c>
      <c r="E4" s="16" t="s">
        <v>131</v>
      </c>
      <c r="F4" s="16" t="s">
        <v>963</v>
      </c>
      <c r="G4" s="16" t="s">
        <v>964</v>
      </c>
      <c r="H4" s="16"/>
      <c r="I4" s="16"/>
      <c r="J4" s="16" t="s">
        <v>18</v>
      </c>
      <c r="K4" s="16" t="s">
        <v>965</v>
      </c>
    </row>
    <row r="5" customFormat="false" ht="22.35" hidden="false" customHeight="false" outlineLevel="0" collapsed="false">
      <c r="A5" s="17" t="s">
        <v>966</v>
      </c>
      <c r="B5" s="17" t="s">
        <v>967</v>
      </c>
      <c r="C5" s="17" t="s">
        <v>968</v>
      </c>
      <c r="D5" s="17" t="s">
        <v>951</v>
      </c>
      <c r="E5" s="17" t="s">
        <v>153</v>
      </c>
      <c r="F5" s="17" t="s">
        <v>969</v>
      </c>
      <c r="G5" s="17" t="s">
        <v>970</v>
      </c>
      <c r="H5" s="17"/>
      <c r="I5" s="17"/>
      <c r="J5" s="17" t="s">
        <v>18</v>
      </c>
      <c r="K5" s="17"/>
    </row>
    <row r="6" customFormat="false" ht="32.8" hidden="false" customHeight="false" outlineLevel="0" collapsed="false">
      <c r="A6" s="16" t="s">
        <v>971</v>
      </c>
      <c r="B6" s="16" t="s">
        <v>972</v>
      </c>
      <c r="C6" s="16" t="s">
        <v>973</v>
      </c>
      <c r="D6" s="16" t="s">
        <v>951</v>
      </c>
      <c r="E6" s="16" t="s">
        <v>131</v>
      </c>
      <c r="F6" s="16" t="s">
        <v>974</v>
      </c>
      <c r="G6" s="16" t="s">
        <v>975</v>
      </c>
      <c r="H6" s="16"/>
      <c r="I6" s="16"/>
      <c r="J6" s="16" t="s">
        <v>18</v>
      </c>
      <c r="K6" s="16"/>
    </row>
    <row r="7" customFormat="false" ht="32.8" hidden="false" customHeight="false" outlineLevel="0" collapsed="false">
      <c r="A7" s="17" t="s">
        <v>976</v>
      </c>
      <c r="B7" s="17" t="s">
        <v>977</v>
      </c>
      <c r="C7" s="17" t="s">
        <v>978</v>
      </c>
      <c r="D7" s="17" t="s">
        <v>951</v>
      </c>
      <c r="E7" s="17" t="s">
        <v>131</v>
      </c>
      <c r="F7" s="17" t="s">
        <v>979</v>
      </c>
      <c r="G7" s="17" t="s">
        <v>980</v>
      </c>
      <c r="H7" s="17"/>
      <c r="I7" s="17"/>
      <c r="J7" s="17" t="s">
        <v>18</v>
      </c>
      <c r="K7" s="17"/>
    </row>
    <row r="8" customFormat="false" ht="32.8" hidden="false" customHeight="false" outlineLevel="0" collapsed="false">
      <c r="A8" s="16" t="s">
        <v>981</v>
      </c>
      <c r="B8" s="16" t="s">
        <v>982</v>
      </c>
      <c r="C8" s="16" t="s">
        <v>983</v>
      </c>
      <c r="D8" s="16" t="s">
        <v>951</v>
      </c>
      <c r="E8" s="16" t="s">
        <v>131</v>
      </c>
      <c r="F8" s="16" t="s">
        <v>984</v>
      </c>
      <c r="G8" s="16" t="s">
        <v>985</v>
      </c>
      <c r="H8" s="16"/>
      <c r="I8" s="16"/>
      <c r="J8" s="16" t="s">
        <v>18</v>
      </c>
      <c r="K8" s="16"/>
    </row>
    <row r="9" customFormat="false" ht="22.35" hidden="false" customHeight="false" outlineLevel="0" collapsed="false">
      <c r="A9" s="17" t="s">
        <v>986</v>
      </c>
      <c r="B9" s="17" t="s">
        <v>987</v>
      </c>
      <c r="C9" s="17" t="s">
        <v>988</v>
      </c>
      <c r="D9" s="17" t="s">
        <v>951</v>
      </c>
      <c r="E9" s="17" t="s">
        <v>131</v>
      </c>
      <c r="F9" s="17" t="s">
        <v>989</v>
      </c>
      <c r="G9" s="17" t="s">
        <v>990</v>
      </c>
      <c r="H9" s="17"/>
      <c r="I9" s="17"/>
      <c r="J9" s="17" t="s">
        <v>18</v>
      </c>
      <c r="K9" s="17"/>
    </row>
    <row r="10" customFormat="false" ht="32.8" hidden="false" customHeight="false" outlineLevel="0" collapsed="false">
      <c r="A10" s="16" t="s">
        <v>991</v>
      </c>
      <c r="B10" s="16" t="s">
        <v>992</v>
      </c>
      <c r="C10" s="16" t="s">
        <v>993</v>
      </c>
      <c r="D10" s="16" t="s">
        <v>951</v>
      </c>
      <c r="E10" s="16" t="s">
        <v>148</v>
      </c>
      <c r="F10" s="16" t="s">
        <v>994</v>
      </c>
      <c r="G10" s="16" t="s">
        <v>995</v>
      </c>
      <c r="H10" s="16"/>
      <c r="I10" s="16"/>
      <c r="J10" s="16" t="s">
        <v>18</v>
      </c>
      <c r="K10" s="16" t="s">
        <v>996</v>
      </c>
    </row>
    <row r="11" customFormat="false" ht="32.8" hidden="false" customHeight="false" outlineLevel="0" collapsed="false">
      <c r="A11" s="17" t="s">
        <v>997</v>
      </c>
      <c r="B11" s="17" t="s">
        <v>998</v>
      </c>
      <c r="C11" s="17" t="s">
        <v>999</v>
      </c>
      <c r="D11" s="17" t="s">
        <v>951</v>
      </c>
      <c r="E11" s="17" t="s">
        <v>193</v>
      </c>
      <c r="F11" s="17" t="s">
        <v>1000</v>
      </c>
      <c r="G11" s="17" t="s">
        <v>1001</v>
      </c>
      <c r="H11" s="17"/>
      <c r="I11" s="17"/>
      <c r="J11" s="17" t="s">
        <v>18</v>
      </c>
      <c r="K11" s="17"/>
    </row>
    <row r="12" customFormat="false" ht="22.35" hidden="false" customHeight="false" outlineLevel="0" collapsed="false">
      <c r="A12" s="16" t="s">
        <v>1002</v>
      </c>
      <c r="B12" s="16" t="s">
        <v>1003</v>
      </c>
      <c r="C12" s="16" t="s">
        <v>1004</v>
      </c>
      <c r="D12" s="16" t="s">
        <v>1005</v>
      </c>
      <c r="E12" s="16" t="s">
        <v>1006</v>
      </c>
      <c r="F12" s="16" t="s">
        <v>1007</v>
      </c>
      <c r="G12" s="16" t="s">
        <v>1008</v>
      </c>
      <c r="H12" s="16"/>
      <c r="I12" s="16"/>
      <c r="J12" s="16" t="s">
        <v>18</v>
      </c>
      <c r="K12" s="16" t="s">
        <v>1009</v>
      </c>
    </row>
    <row r="13" customFormat="false" ht="43.25" hidden="false" customHeight="false" outlineLevel="0" collapsed="false">
      <c r="A13" s="17" t="s">
        <v>1010</v>
      </c>
      <c r="B13" s="17" t="s">
        <v>1011</v>
      </c>
      <c r="C13" s="17" t="s">
        <v>1012</v>
      </c>
      <c r="D13" s="17" t="s">
        <v>1005</v>
      </c>
      <c r="E13" s="17" t="s">
        <v>131</v>
      </c>
      <c r="F13" s="17" t="s">
        <v>1013</v>
      </c>
      <c r="G13" s="17" t="s">
        <v>1014</v>
      </c>
      <c r="H13" s="17"/>
      <c r="I13" s="17"/>
      <c r="J13" s="17" t="s">
        <v>18</v>
      </c>
      <c r="K13" s="17" t="s">
        <v>1015</v>
      </c>
    </row>
    <row r="14" customFormat="false" ht="32.8" hidden="false" customHeight="false" outlineLevel="0" collapsed="false">
      <c r="A14" s="16" t="s">
        <v>1016</v>
      </c>
      <c r="B14" s="16" t="s">
        <v>1017</v>
      </c>
      <c r="C14" s="16" t="s">
        <v>1018</v>
      </c>
      <c r="D14" s="16" t="s">
        <v>1005</v>
      </c>
      <c r="E14" s="16" t="s">
        <v>131</v>
      </c>
      <c r="F14" s="16" t="s">
        <v>1019</v>
      </c>
      <c r="G14" s="16" t="s">
        <v>1020</v>
      </c>
      <c r="H14" s="16"/>
      <c r="I14" s="16"/>
      <c r="J14" s="16" t="s">
        <v>18</v>
      </c>
      <c r="K14" s="16" t="s">
        <v>1021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2026-06-19T19:24:01Z</dcterms:created>
  <dc:creator>openpyxl</dc:creator>
  <dc:description/>
  <dc:language>en-US</dc:language>
  <cp:lastModifiedBy>Srinivasan, Vishal (UG - Economics)</cp:lastModifiedBy>
  <dcterms:modified xsi:type="dcterms:W3CDTF">2026-06-27T15:21:56Z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